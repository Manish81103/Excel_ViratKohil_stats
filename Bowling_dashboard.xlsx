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defaultThemeVersion="166925"/>
  <mc:AlternateContent xmlns:mc="http://schemas.openxmlformats.org/markup-compatibility/2006">
    <mc:Choice Requires="x15">
      <x15ac:absPath xmlns:x15ac="http://schemas.microsoft.com/office/spreadsheetml/2010/11/ac" url="C:\Users\manish singh\OneDrive\Desktop\exl_database\Viratkohli_stats\"/>
    </mc:Choice>
  </mc:AlternateContent>
  <xr:revisionPtr revIDLastSave="0" documentId="13_ncr:1_{3D8C5CEA-AB08-4652-8AA7-8431F6E2FAF1}" xr6:coauthVersionLast="47" xr6:coauthVersionMax="47" xr10:uidLastSave="{00000000-0000-0000-0000-000000000000}"/>
  <bookViews>
    <workbookView xWindow="-110" yWindow="-110" windowWidth="19420" windowHeight="10300" firstSheet="3" activeTab="4" xr2:uid="{C17AC6DC-B932-4B9D-923C-D629F1398E8E}"/>
  </bookViews>
  <sheets>
    <sheet name="T20I_balling (2)" sheetId="7" state="hidden" r:id="rId1"/>
    <sheet name="Table 5" sheetId="4" state="hidden" r:id="rId2"/>
    <sheet name="Bowling (2)" sheetId="13" state="hidden" r:id="rId3"/>
    <sheet name="Sheet2" sheetId="11" r:id="rId4"/>
    <sheet name="Bowling_dasboard" sheetId="12" r:id="rId5"/>
    <sheet name="ODI_balling (2)" sheetId="9" state="hidden" r:id="rId6"/>
    <sheet name="Table 3" sheetId="3" state="hidden" r:id="rId7"/>
    <sheet name="Test_balling (2)" sheetId="5" state="hidden" r:id="rId8"/>
    <sheet name="Table 1" sheetId="2" state="hidden" r:id="rId9"/>
  </sheets>
  <definedNames>
    <definedName name="ExternalData_1" localSheetId="8" hidden="1">'Table 1'!$A$1:$M$9</definedName>
    <definedName name="ExternalData_2" localSheetId="6" hidden="1">'Table 3'!$A$1:$M$10</definedName>
    <definedName name="ExternalData_2" localSheetId="7" hidden="1">'Test_balling (2)'!$A$1:$N$9</definedName>
    <definedName name="ExternalData_3" localSheetId="5" hidden="1">'ODI_balling (2)'!$A$1:$N$10</definedName>
    <definedName name="ExternalData_3" localSheetId="1" hidden="1">'Table 5'!$A$1:$M$6</definedName>
    <definedName name="ExternalData_4" localSheetId="0" hidden="1">'T20I_balling (2)'!$A$1:$N$6</definedName>
    <definedName name="ExternalData_5" localSheetId="2" hidden="1">'Bowling (2)'!$A$1:$N$23</definedName>
    <definedName name="Slicer_Year">#N/A</definedName>
  </definedNames>
  <calcPr calcId="191029"/>
  <pivotCaches>
    <pivotCache cacheId="5"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EFE906-026B-444D-A670-D83470D2C3E0}" keepAlive="1" name="Query - Balling" description="Connection to the 'Balling' query in the workbook." type="5" refreshedVersion="8" background="1" saveData="1">
    <dbPr connection="Provider=Microsoft.Mashup.OleDb.1;Data Source=$Workbook$;Location=Balling;Extended Properties=&quot;&quot;" command="SELECT * FROM [Balling]"/>
  </connection>
  <connection id="2" xr16:uid="{A7179932-A3F9-480F-BA6C-A2F5F9D9151A}" keepAlive="1" name="Query - Balling (2)" description="Connection to the 'Balling (2)' query in the workbook." type="5" refreshedVersion="8" background="1" saveData="1">
    <dbPr connection="Provider=Microsoft.Mashup.OleDb.1;Data Source=$Workbook$;Location=&quot;Balling (2)&quot;;Extended Properties=&quot;&quot;" command="SELECT * FROM [Balling (2)]"/>
  </connection>
  <connection id="3" xr16:uid="{FEEE9CF4-4C4F-425A-B8F5-ABF9AC2312C4}" keepAlive="1" name="Query - ODI_balling" description="Connection to the 'ODI_balling' query in the workbook." type="5" refreshedVersion="8" background="1" saveData="1">
    <dbPr connection="Provider=Microsoft.Mashup.OleDb.1;Data Source=$Workbook$;Location=ODI_balling;Extended Properties=&quot;&quot;" command="SELECT * FROM [ODI_balling]"/>
  </connection>
  <connection id="4" xr16:uid="{3D88E85D-B747-4015-937E-835F124D3DCC}" keepAlive="1" name="Query - ODI_balling (2)" description="Connection to the 'ODI_balling (2)' query in the workbook." type="5" refreshedVersion="8" background="1" saveData="1">
    <dbPr connection="Provider=Microsoft.Mashup.OleDb.1;Data Source=$Workbook$;Location=&quot;ODI_balling (2)&quot;;Extended Properties=&quot;&quot;" command="SELECT * FROM [ODI_balling (2)]"/>
  </connection>
  <connection id="5" xr16:uid="{ABE23EBF-A513-4620-B253-571B8C87752C}" keepAlive="1" name="Query - T20I_balling" description="Connection to the 'T20I_balling' query in the workbook." type="5" refreshedVersion="8" background="1" saveData="1">
    <dbPr connection="Provider=Microsoft.Mashup.OleDb.1;Data Source=$Workbook$;Location=T20I_balling;Extended Properties=&quot;&quot;" command="SELECT * FROM [T20I_balling]"/>
  </connection>
  <connection id="6" xr16:uid="{327B3E6E-0BA8-4A11-B909-D3287620969F}" keepAlive="1" name="Query - T20I_balling (2)" description="Connection to the 'T20I_balling (2)' query in the workbook." type="5" refreshedVersion="8" background="1" saveData="1">
    <dbPr connection="Provider=Microsoft.Mashup.OleDb.1;Data Source=$Workbook$;Location=&quot;T20I_balling (2)&quot;;Extended Properties=&quot;&quot;" command="SELECT * FROM [T20I_balling (2)]"/>
  </connection>
  <connection id="7" xr16:uid="{9AF4F3B2-0630-4D91-A4A9-49BC38E2FF3F}" keepAlive="1" name="Query - Test_balling" description="Connection to the 'Test_balling' query in the workbook." type="5" refreshedVersion="8" background="1" saveData="1">
    <dbPr connection="Provider=Microsoft.Mashup.OleDb.1;Data Source=$Workbook$;Location=Test_balling;Extended Properties=&quot;&quot;" command="SELECT * FROM [Test_balling]"/>
  </connection>
  <connection id="8" xr16:uid="{BE5F7874-05A6-45B2-9E31-5CAA5A11706B}" keepAlive="1" name="Query - Test_balling (2)" description="Connection to the 'Test_balling (2)' query in the workbook." type="5" refreshedVersion="8" background="1" saveData="1">
    <dbPr connection="Provider=Microsoft.Mashup.OleDb.1;Data Source=$Workbook$;Location=&quot;Test_balling (2)&quot;;Extended Properties=&quot;&quot;" command="SELECT * FROM [Test_balling (2)]"/>
  </connection>
</connections>
</file>

<file path=xl/sharedStrings.xml><?xml version="1.0" encoding="utf-8"?>
<sst xmlns="http://schemas.openxmlformats.org/spreadsheetml/2006/main" count="376" uniqueCount="58">
  <si>
    <t>Year</t>
  </si>
  <si>
    <t>Innings</t>
  </si>
  <si>
    <t>Overs</t>
  </si>
  <si>
    <t>Runs</t>
  </si>
  <si>
    <t>Wickets</t>
  </si>
  <si>
    <t>Econ</t>
  </si>
  <si>
    <t>Avg</t>
  </si>
  <si>
    <t>SR</t>
  </si>
  <si>
    <t>5W</t>
  </si>
  <si>
    <t>BBI</t>
  </si>
  <si>
    <t>4s</t>
  </si>
  <si>
    <t>6s</t>
  </si>
  <si>
    <t>Dot%</t>
  </si>
  <si>
    <t>-</t>
  </si>
  <si>
    <t>0/9</t>
  </si>
  <si>
    <t>0/3</t>
  </si>
  <si>
    <t>0/18</t>
  </si>
  <si>
    <t>0/4</t>
  </si>
  <si>
    <t>1/1000</t>
  </si>
  <si>
    <t>0/1</t>
  </si>
  <si>
    <t>0/21</t>
  </si>
  <si>
    <t>0/11</t>
  </si>
  <si>
    <t>94.0</t>
  </si>
  <si>
    <t>102.0</t>
  </si>
  <si>
    <t>1/20</t>
  </si>
  <si>
    <t>178.0</t>
  </si>
  <si>
    <t>150.0</t>
  </si>
  <si>
    <t>1/15</t>
  </si>
  <si>
    <t>107.0</t>
  </si>
  <si>
    <t>1/36</t>
  </si>
  <si>
    <t>0/7</t>
  </si>
  <si>
    <t>0/12</t>
  </si>
  <si>
    <t>17.5</t>
  </si>
  <si>
    <t>17.0</t>
  </si>
  <si>
    <t>1/13</t>
  </si>
  <si>
    <t>124.0</t>
  </si>
  <si>
    <t>90.0</t>
  </si>
  <si>
    <t>1/21</t>
  </si>
  <si>
    <t>0/24</t>
  </si>
  <si>
    <t>15.0</t>
  </si>
  <si>
    <t>10.0</t>
  </si>
  <si>
    <t>0/6</t>
  </si>
  <si>
    <t>Formate</t>
  </si>
  <si>
    <t>Test</t>
  </si>
  <si>
    <t>ODI</t>
  </si>
  <si>
    <t>T20</t>
  </si>
  <si>
    <t>Row Labels</t>
  </si>
  <si>
    <t>Grand Total</t>
  </si>
  <si>
    <t>Sum of Wickets</t>
  </si>
  <si>
    <t>Sum of Econ</t>
  </si>
  <si>
    <t>Sum of Overs</t>
  </si>
  <si>
    <t>Sum of 4s</t>
  </si>
  <si>
    <t>Sum of 6s</t>
  </si>
  <si>
    <t>Column Labels</t>
  </si>
  <si>
    <t>Average of Econ</t>
  </si>
  <si>
    <t>Sum of Dot%</t>
  </si>
  <si>
    <t>Sum of Innings</t>
  </si>
  <si>
    <t>Virat Kohli Bowling Stats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</si>
</sst>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sz val="8"/>
      <name val="Calibri"/>
      <family val="2"/>
      <scheme val="minor"/>
    </font>
    <font>
      <b/>
      <sz val="26"/>
      <color theme="1"/>
      <name val="Agency FB"/>
      <family val="2"/>
    </font>
  </fonts>
  <fills count="4">
    <fill>
      <patternFill patternType="none"/>
    </fill>
    <fill>
      <patternFill patternType="gray125"/>
    </fill>
    <fill>
      <patternFill patternType="solid">
        <fgColor theme="3" tint="0.59999389629810485"/>
        <bgColor indexed="64"/>
      </patternFill>
    </fill>
    <fill>
      <patternFill patternType="solid">
        <fgColor theme="8"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10" fontId="0" fillId="0" borderId="0" xfId="0" applyNumberFormat="1"/>
    <xf numFmtId="2" fontId="0" fillId="0" borderId="0" xfId="0" applyNumberFormat="1"/>
    <xf numFmtId="0" fontId="2" fillId="3" borderId="0" xfId="0" applyFont="1" applyFill="1" applyAlignment="1">
      <alignment horizontal="center"/>
    </xf>
    <xf numFmtId="0" fontId="0" fillId="3" borderId="0" xfId="0" applyFill="1" applyAlignment="1">
      <alignment horizontal="center"/>
    </xf>
    <xf numFmtId="0" fontId="0" fillId="0" borderId="0" xfId="0" applyNumberFormat="1"/>
  </cellXfs>
  <cellStyles count="1">
    <cellStyle name="Normal" xfId="0" builtinId="0"/>
  </cellStyles>
  <dxfs count="40">
    <dxf>
      <numFmt numFmtId="2" formatCode="0.00"/>
    </dxf>
    <dxf>
      <numFmt numFmtId="2" formatCode="0.00"/>
    </dxf>
    <dxf>
      <numFmt numFmtId="164" formatCode="0.000"/>
    </dxf>
    <dxf>
      <numFmt numFmtId="2" formatCode="0.00"/>
    </dxf>
    <dxf>
      <numFmt numFmtId="2" formatCode="0.00"/>
    </dxf>
    <dxf>
      <numFmt numFmtId="164" formatCode="0.000"/>
    </dxf>
    <dxf>
      <numFmt numFmtId="2" formatCode="0.00"/>
    </dxf>
    <dxf>
      <numFmt numFmtId="2" formatCode="0.00"/>
    </dxf>
    <dxf>
      <numFmt numFmtId="164" formatCode="0.000"/>
    </dxf>
    <dxf>
      <numFmt numFmtId="2" formatCode="0.00"/>
    </dxf>
    <dxf>
      <numFmt numFmtId="2" formatCode="0.00"/>
    </dxf>
    <dxf>
      <numFmt numFmtId="164" formatCode="0.000"/>
    </dxf>
    <dxf>
      <numFmt numFmtId="2" formatCode="0.00"/>
    </dxf>
    <dxf>
      <numFmt numFmtId="2" formatCode="0.00"/>
    </dxf>
    <dxf>
      <numFmt numFmtId="164" formatCode="0.000"/>
    </dxf>
    <dxf>
      <numFmt numFmtId="164" formatCode="0.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[Bowling_dashboard.xlsx]Sheet2!PivotTable6</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800">
                <a:latin typeface="Agency FB" panose="020B0503020202020204" pitchFamily="34" charset="0"/>
              </a:rPr>
              <a:t>Number of boundaries on balls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30249694723987"/>
          <c:y val="0.20370370370370369"/>
          <c:w val="0.75253779106488694"/>
          <c:h val="0.71204505686789155"/>
        </c:manualLayout>
      </c:layout>
      <c:barChart>
        <c:barDir val="col"/>
        <c:grouping val="clustered"/>
        <c:varyColors val="0"/>
        <c:ser>
          <c:idx val="0"/>
          <c:order val="0"/>
          <c:tx>
            <c:strRef>
              <c:f>Sheet2!$L$3</c:f>
              <c:strCache>
                <c:ptCount val="1"/>
                <c:pt idx="0">
                  <c:v>Sum of 4s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Sheet2!$K$4:$K$7</c:f>
              <c:strCache>
                <c:ptCount val="3"/>
                <c:pt idx="0">
                  <c:v>ODI</c:v>
                </c:pt>
                <c:pt idx="1">
                  <c:v>T20</c:v>
                </c:pt>
                <c:pt idx="2">
                  <c:v>Test</c:v>
                </c:pt>
              </c:strCache>
            </c:strRef>
          </c:cat>
          <c:val>
            <c:numRef>
              <c:f>Sheet2!$L$4:$L$7</c:f>
              <c:numCache>
                <c:formatCode>General</c:formatCode>
                <c:ptCount val="3"/>
                <c:pt idx="0">
                  <c:v>50</c:v>
                </c:pt>
                <c:pt idx="1">
                  <c:v>18</c:v>
                </c:pt>
                <c:pt idx="2">
                  <c:v>10</c:v>
                </c:pt>
              </c:numCache>
            </c:numRef>
          </c:val>
          <c:extLst>
            <c:ext xmlns:c16="http://schemas.microsoft.com/office/drawing/2014/chart" uri="{C3380CC4-5D6E-409C-BE32-E72D297353CC}">
              <c16:uniqueId val="{00000000-5F6B-4E4E-82B2-A27D5C9D61A5}"/>
            </c:ext>
          </c:extLst>
        </c:ser>
        <c:ser>
          <c:idx val="1"/>
          <c:order val="1"/>
          <c:tx>
            <c:strRef>
              <c:f>Sheet2!$M$3</c:f>
              <c:strCache>
                <c:ptCount val="1"/>
                <c:pt idx="0">
                  <c:v>Sum of 6s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Sheet2!$K$4:$K$7</c:f>
              <c:strCache>
                <c:ptCount val="3"/>
                <c:pt idx="0">
                  <c:v>ODI</c:v>
                </c:pt>
                <c:pt idx="1">
                  <c:v>T20</c:v>
                </c:pt>
                <c:pt idx="2">
                  <c:v>Test</c:v>
                </c:pt>
              </c:strCache>
            </c:strRef>
          </c:cat>
          <c:val>
            <c:numRef>
              <c:f>Sheet2!$M$4:$M$7</c:f>
              <c:numCache>
                <c:formatCode>General</c:formatCode>
                <c:ptCount val="3"/>
                <c:pt idx="0">
                  <c:v>9</c:v>
                </c:pt>
                <c:pt idx="1">
                  <c:v>4</c:v>
                </c:pt>
                <c:pt idx="2">
                  <c:v>0</c:v>
                </c:pt>
              </c:numCache>
            </c:numRef>
          </c:val>
          <c:extLst>
            <c:ext xmlns:c16="http://schemas.microsoft.com/office/drawing/2014/chart" uri="{C3380CC4-5D6E-409C-BE32-E72D297353CC}">
              <c16:uniqueId val="{00000001-5F6B-4E4E-82B2-A27D5C9D61A5}"/>
            </c:ext>
          </c:extLst>
        </c:ser>
        <c:dLbls>
          <c:dLblPos val="outEnd"/>
          <c:showLegendKey val="0"/>
          <c:showVal val="1"/>
          <c:showCatName val="0"/>
          <c:showSerName val="0"/>
          <c:showPercent val="0"/>
          <c:showBubbleSize val="0"/>
        </c:dLbls>
        <c:gapWidth val="315"/>
        <c:overlap val="-40"/>
        <c:axId val="2107681679"/>
        <c:axId val="606228895"/>
      </c:barChart>
      <c:catAx>
        <c:axId val="2107681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6228895"/>
        <c:crosses val="autoZero"/>
        <c:auto val="1"/>
        <c:lblAlgn val="ctr"/>
        <c:lblOffset val="100"/>
        <c:noMultiLvlLbl val="0"/>
      </c:catAx>
      <c:valAx>
        <c:axId val="6062288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200">
                    <a:latin typeface="Agency FB" panose="020B0503020202020204" pitchFamily="34" charset="0"/>
                  </a:rPr>
                  <a:t>Boundaries</a:t>
                </a:r>
              </a:p>
            </c:rich>
          </c:tx>
          <c:layout>
            <c:manualLayout>
              <c:xMode val="edge"/>
              <c:yMode val="edge"/>
              <c:x val="2.9451766390163798E-2"/>
              <c:y val="0.3978047535724700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7681679"/>
        <c:crosses val="autoZero"/>
        <c:crossBetween val="between"/>
      </c:valAx>
      <c:spPr>
        <a:noFill/>
        <a:ln>
          <a:noFill/>
        </a:ln>
        <a:effectLst/>
      </c:spPr>
    </c:plotArea>
    <c:legend>
      <c:legendPos val="r"/>
      <c:layout>
        <c:manualLayout>
          <c:xMode val="edge"/>
          <c:yMode val="edge"/>
          <c:x val="0.85673333614046909"/>
          <c:y val="0.83874927092446783"/>
          <c:w val="0.13791907027664324"/>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[Bowling_dashboard.xlsx]Sheet2!PivotTable7</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US" sz="1800" b="1" i="0" u="none" strike="noStrike" kern="1200" cap="none" baseline="0">
                <a:solidFill>
                  <a:sysClr val="window" lastClr="FFFFFF">
                    <a:lumMod val="85000"/>
                  </a:sysClr>
                </a:solidFill>
                <a:latin typeface="Agency FB" panose="020B0503020202020204" pitchFamily="34" charset="0"/>
              </a:rPr>
              <a:t>Dot balls percentage in different formats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8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pivotFmt>
    </c:pivotFmts>
    <c:plotArea>
      <c:layout>
        <c:manualLayout>
          <c:layoutTarget val="inner"/>
          <c:xMode val="edge"/>
          <c:yMode val="edge"/>
          <c:x val="0.28111471770815882"/>
          <c:y val="0.22297426363371242"/>
          <c:w val="0.39711467582509635"/>
          <c:h val="0.6912736949547974"/>
        </c:manualLayout>
      </c:layout>
      <c:pieChart>
        <c:varyColors val="1"/>
        <c:ser>
          <c:idx val="0"/>
          <c:order val="0"/>
          <c:tx>
            <c:strRef>
              <c:f>Sheet2!$B$11</c:f>
              <c:strCache>
                <c:ptCount val="1"/>
                <c:pt idx="0">
                  <c:v>Total</c:v>
                </c:pt>
              </c:strCache>
            </c:strRef>
          </c:tx>
          <c:explosion val="9"/>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EBC4-4D47-920D-51DD6A402305}"/>
              </c:ext>
            </c:extLst>
          </c:dPt>
          <c:dPt>
            <c:idx val="1"/>
            <c:bubble3D val="0"/>
            <c:explosion val="14"/>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1-1426-4FE5-81B1-669D831F9ABF}"/>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EBC4-4D47-920D-51DD6A4023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Sheet2!$A$12:$A$15</c:f>
              <c:strCache>
                <c:ptCount val="3"/>
                <c:pt idx="0">
                  <c:v>ODI</c:v>
                </c:pt>
                <c:pt idx="1">
                  <c:v>T20</c:v>
                </c:pt>
                <c:pt idx="2">
                  <c:v>Test</c:v>
                </c:pt>
              </c:strCache>
            </c:strRef>
          </c:cat>
          <c:val>
            <c:numRef>
              <c:f>Sheet2!$B$12:$B$15</c:f>
              <c:numCache>
                <c:formatCode>0.00%</c:formatCode>
                <c:ptCount val="3"/>
                <c:pt idx="0">
                  <c:v>0.28280858177765394</c:v>
                </c:pt>
                <c:pt idx="1">
                  <c:v>0.14061484164576948</c:v>
                </c:pt>
                <c:pt idx="2">
                  <c:v>0.57657657657657657</c:v>
                </c:pt>
              </c:numCache>
            </c:numRef>
          </c:val>
          <c:extLst>
            <c:ext xmlns:c16="http://schemas.microsoft.com/office/drawing/2014/chart" uri="{C3380CC4-5D6E-409C-BE32-E72D297353CC}">
              <c16:uniqueId val="{00000000-1426-4FE5-81B1-669D831F9A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[Bowling_dashboard.xlsx]Sheet2!PivotTable8</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latin typeface="Agency FB" panose="020B0503020202020204" pitchFamily="34" charset="0"/>
              </a:rPr>
              <a:t>Total</a:t>
            </a:r>
            <a:r>
              <a:rPr lang="en-US" sz="1800" baseline="0">
                <a:latin typeface="Agency FB" panose="020B0503020202020204" pitchFamily="34" charset="0"/>
              </a:rPr>
              <a:t> innings in different formats</a:t>
            </a:r>
            <a:endParaRPr lang="en-US" sz="1800">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1340266958609"/>
          <c:y val="0.22939814814814816"/>
          <c:w val="0.84008231925554766"/>
          <c:h val="0.55672098279381743"/>
        </c:manualLayout>
      </c:layout>
      <c:barChart>
        <c:barDir val="bar"/>
        <c:grouping val="clustered"/>
        <c:varyColors val="0"/>
        <c:ser>
          <c:idx val="0"/>
          <c:order val="0"/>
          <c:tx>
            <c:strRef>
              <c:f>Sheet2!$L$13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Sheet2!$K$14:$K$17</c:f>
              <c:strCache>
                <c:ptCount val="3"/>
                <c:pt idx="0">
                  <c:v>ODI</c:v>
                </c:pt>
                <c:pt idx="1">
                  <c:v>T20</c:v>
                </c:pt>
                <c:pt idx="2">
                  <c:v>Test</c:v>
                </c:pt>
              </c:strCache>
            </c:strRef>
          </c:cat>
          <c:val>
            <c:numRef>
              <c:f>Sheet2!$L$14:$L$17</c:f>
              <c:numCache>
                <c:formatCode>General</c:formatCode>
                <c:ptCount val="3"/>
                <c:pt idx="0">
                  <c:v>48</c:v>
                </c:pt>
                <c:pt idx="1">
                  <c:v>13</c:v>
                </c:pt>
                <c:pt idx="2">
                  <c:v>11</c:v>
                </c:pt>
              </c:numCache>
            </c:numRef>
          </c:val>
          <c:extLst>
            <c:ext xmlns:c16="http://schemas.microsoft.com/office/drawing/2014/chart" uri="{C3380CC4-5D6E-409C-BE32-E72D297353CC}">
              <c16:uniqueId val="{00000000-B067-4F9F-AE41-9ADE41653C8A}"/>
            </c:ext>
          </c:extLst>
        </c:ser>
        <c:dLbls>
          <c:dLblPos val="outEnd"/>
          <c:showLegendKey val="0"/>
          <c:showVal val="1"/>
          <c:showCatName val="0"/>
          <c:showSerName val="0"/>
          <c:showPercent val="0"/>
          <c:showBubbleSize val="0"/>
        </c:dLbls>
        <c:gapWidth val="182"/>
        <c:overlap val="-50"/>
        <c:axId val="105798864"/>
        <c:axId val="108400496"/>
      </c:barChart>
      <c:catAx>
        <c:axId val="105798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400496"/>
        <c:crosses val="autoZero"/>
        <c:auto val="1"/>
        <c:lblAlgn val="ctr"/>
        <c:lblOffset val="100"/>
        <c:noMultiLvlLbl val="0"/>
      </c:catAx>
      <c:valAx>
        <c:axId val="10840049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 lastClr="FFFFFF">
                        <a:lumMod val="75000"/>
                      </a:sysClr>
                    </a:solidFill>
                    <a:latin typeface="+mn-lt"/>
                    <a:ea typeface="+mn-ea"/>
                    <a:cs typeface="+mn-cs"/>
                  </a:defRPr>
                </a:pPr>
                <a:r>
                  <a:rPr lang="en-IN" sz="1200" b="1" i="0" u="none" strike="noStrike" kern="1200" baseline="0">
                    <a:solidFill>
                      <a:sysClr val="window" lastClr="FFFFFF">
                        <a:lumMod val="75000"/>
                      </a:sysClr>
                    </a:solidFill>
                    <a:latin typeface="Agency FB" panose="020B0503020202020204" pitchFamily="34" charset="0"/>
                  </a:rPr>
                  <a:t>Innings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7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 lastClr="FFFFFF">
                      <a:lumMod val="7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798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[Bowling_dashboard.xlsx]Sheet2!PivotTable4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sz="1800" b="1" i="0" u="none" strike="noStrike" kern="1200" cap="none" baseline="0">
                <a:solidFill>
                  <a:sysClr val="window" lastClr="FFFFFF">
                    <a:lumMod val="85000"/>
                  </a:sysClr>
                </a:solidFill>
                <a:latin typeface="Agency FB" panose="020B0503020202020204" pitchFamily="34" charset="0"/>
              </a:rPr>
              <a:t>Total wickets in different formats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85000"/>
                  </a:sysClr>
                </a:solidFill>
              </a:defRPr>
            </a:pPr>
            <a:endParaRPr lang="en-IN" sz="1800">
              <a:latin typeface="Agency FB" panose="020B0503020202020204" pitchFamily="34" charset="0"/>
            </a:endParaRPr>
          </a:p>
        </c:rich>
      </c:tx>
      <c:layout>
        <c:manualLayout>
          <c:xMode val="edge"/>
          <c:yMode val="edge"/>
          <c:x val="0.24150929133858268"/>
          <c:y val="3.240740740740740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2656167979002"/>
          <c:y val="0.23676181102362204"/>
          <c:w val="0.80103980752405946"/>
          <c:h val="0.58920785943423737"/>
        </c:manualLayout>
      </c:layout>
      <c:barChart>
        <c:barDir val="col"/>
        <c:grouping val="clustered"/>
        <c:varyColors val="0"/>
        <c:ser>
          <c:idx val="0"/>
          <c:order val="0"/>
          <c:tx>
            <c:strRef>
              <c:f>Sheet2!$B$16</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0-256D-4DBD-98E2-F7E6EB1B94AF}"/>
              </c:ext>
            </c:extLst>
          </c:dPt>
          <c:dPt>
            <c:idx val="1"/>
            <c:invertIfNegative val="0"/>
            <c:bubble3D val="0"/>
            <c:extLst>
              <c:ext xmlns:c16="http://schemas.microsoft.com/office/drawing/2014/chart" uri="{C3380CC4-5D6E-409C-BE32-E72D297353CC}">
                <c16:uniqueId val="{00000001-256D-4DBD-98E2-F7E6EB1B94AF}"/>
              </c:ext>
            </c:extLst>
          </c:dPt>
          <c:dPt>
            <c:idx val="2"/>
            <c:invertIfNegative val="0"/>
            <c:bubble3D val="0"/>
            <c:extLst>
              <c:ext xmlns:c16="http://schemas.microsoft.com/office/drawing/2014/chart" uri="{C3380CC4-5D6E-409C-BE32-E72D297353CC}">
                <c16:uniqueId val="{00000002-256D-4DBD-98E2-F7E6EB1B94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Sheet2!$A$17:$A$20</c:f>
              <c:strCache>
                <c:ptCount val="3"/>
                <c:pt idx="0">
                  <c:v>ODI</c:v>
                </c:pt>
                <c:pt idx="1">
                  <c:v>T20</c:v>
                </c:pt>
                <c:pt idx="2">
                  <c:v>Test</c:v>
                </c:pt>
              </c:strCache>
            </c:strRef>
          </c:cat>
          <c:val>
            <c:numRef>
              <c:f>Sheet2!$B$17:$B$20</c:f>
              <c:numCache>
                <c:formatCode>General</c:formatCode>
                <c:ptCount val="3"/>
                <c:pt idx="0">
                  <c:v>4</c:v>
                </c:pt>
                <c:pt idx="1">
                  <c:v>4</c:v>
                </c:pt>
                <c:pt idx="2">
                  <c:v>0</c:v>
                </c:pt>
              </c:numCache>
            </c:numRef>
          </c:val>
          <c:extLst>
            <c:ext xmlns:c16="http://schemas.microsoft.com/office/drawing/2014/chart" uri="{C3380CC4-5D6E-409C-BE32-E72D297353CC}">
              <c16:uniqueId val="{00000003-256D-4DBD-98E2-F7E6EB1B94AF}"/>
            </c:ext>
          </c:extLst>
        </c:ser>
        <c:dLbls>
          <c:dLblPos val="outEnd"/>
          <c:showLegendKey val="0"/>
          <c:showVal val="1"/>
          <c:showCatName val="0"/>
          <c:showSerName val="0"/>
          <c:showPercent val="0"/>
          <c:showBubbleSize val="0"/>
        </c:dLbls>
        <c:gapWidth val="315"/>
        <c:overlap val="-40"/>
        <c:axId val="167563087"/>
        <c:axId val="341257231"/>
      </c:barChart>
      <c:catAx>
        <c:axId val="167563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1257231"/>
        <c:crosses val="autoZero"/>
        <c:auto val="1"/>
        <c:lblAlgn val="ctr"/>
        <c:lblOffset val="100"/>
        <c:noMultiLvlLbl val="0"/>
      </c:catAx>
      <c:valAx>
        <c:axId val="3412572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200">
                    <a:latin typeface="Agency FB" panose="020B0503020202020204" pitchFamily="34" charset="0"/>
                  </a:rPr>
                  <a:t>wickets</a:t>
                </a:r>
              </a:p>
            </c:rich>
          </c:tx>
          <c:layout>
            <c:manualLayout>
              <c:xMode val="edge"/>
              <c:yMode val="edge"/>
              <c:x val="1.2269396325459319E-2"/>
              <c:y val="0.4240562117235346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563087"/>
        <c:crosses val="autoZero"/>
        <c:crossBetween val="between"/>
        <c:majorUnit val="1"/>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[Bowling_dashboard.xlsx]Sheet2!PivotTable9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US" sz="1800" b="1" i="0" u="none" strike="noStrike" kern="1200" cap="none" baseline="0">
                <a:solidFill>
                  <a:sysClr val="window" lastClr="FFFFFF">
                    <a:lumMod val="85000"/>
                  </a:sysClr>
                </a:solidFill>
                <a:latin typeface="Agency FB" panose="020B0503020202020204" pitchFamily="34" charset="0"/>
              </a:rPr>
              <a:t>Average economy in different formats</a:t>
            </a:r>
          </a:p>
        </c:rich>
      </c:tx>
      <c:layout>
        <c:manualLayout>
          <c:xMode val="edge"/>
          <c:yMode val="edge"/>
          <c:x val="0.19276788999505903"/>
          <c:y val="4.6296296296296294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51640507553379"/>
          <c:y val="0.22588035870516185"/>
          <c:w val="0.80946216097987755"/>
          <c:h val="0.65152413240011664"/>
        </c:manualLayout>
      </c:layout>
      <c:barChart>
        <c:barDir val="col"/>
        <c:grouping val="clustered"/>
        <c:varyColors val="0"/>
        <c:ser>
          <c:idx val="0"/>
          <c:order val="0"/>
          <c:tx>
            <c:strRef>
              <c:f>Sheet2!$B$22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0-8F11-4C94-8A49-42EC123BF98D}"/>
              </c:ext>
            </c:extLst>
          </c:dPt>
          <c:dPt>
            <c:idx val="1"/>
            <c:invertIfNegative val="0"/>
            <c:bubble3D val="0"/>
            <c:extLst>
              <c:ext xmlns:c16="http://schemas.microsoft.com/office/drawing/2014/chart" uri="{C3380CC4-5D6E-409C-BE32-E72D297353CC}">
                <c16:uniqueId val="{00000001-8F11-4C94-8A49-42EC123BF98D}"/>
              </c:ext>
            </c:extLst>
          </c:dPt>
          <c:dPt>
            <c:idx val="2"/>
            <c:invertIfNegative val="0"/>
            <c:bubble3D val="0"/>
            <c:extLst>
              <c:ext xmlns:c16="http://schemas.microsoft.com/office/drawing/2014/chart" uri="{C3380CC4-5D6E-409C-BE32-E72D297353CC}">
                <c16:uniqueId val="{00000002-8F11-4C94-8A49-42EC123BF98D}"/>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Sheet2!$A$23:$A$26</c:f>
              <c:strCache>
                <c:ptCount val="3"/>
                <c:pt idx="0">
                  <c:v>ODI</c:v>
                </c:pt>
                <c:pt idx="1">
                  <c:v>T20</c:v>
                </c:pt>
                <c:pt idx="2">
                  <c:v>Test</c:v>
                </c:pt>
              </c:strCache>
            </c:strRef>
          </c:cat>
          <c:val>
            <c:numRef>
              <c:f>Sheet2!$B$23:$B$26</c:f>
              <c:numCache>
                <c:formatCode>General</c:formatCode>
                <c:ptCount val="3"/>
                <c:pt idx="0">
                  <c:v>6.3222222222222229</c:v>
                </c:pt>
                <c:pt idx="1">
                  <c:v>8.2900000000000009</c:v>
                </c:pt>
                <c:pt idx="2">
                  <c:v>2.94875</c:v>
                </c:pt>
              </c:numCache>
            </c:numRef>
          </c:val>
          <c:extLst>
            <c:ext xmlns:c16="http://schemas.microsoft.com/office/drawing/2014/chart" uri="{C3380CC4-5D6E-409C-BE32-E72D297353CC}">
              <c16:uniqueId val="{00000003-8F11-4C94-8A49-42EC123BF98D}"/>
            </c:ext>
          </c:extLst>
        </c:ser>
        <c:dLbls>
          <c:dLblPos val="outEnd"/>
          <c:showLegendKey val="0"/>
          <c:showVal val="1"/>
          <c:showCatName val="0"/>
          <c:showSerName val="0"/>
          <c:showPercent val="0"/>
          <c:showBubbleSize val="0"/>
        </c:dLbls>
        <c:gapWidth val="315"/>
        <c:overlap val="-40"/>
        <c:axId val="175047823"/>
        <c:axId val="1739077904"/>
      </c:barChart>
      <c:catAx>
        <c:axId val="175047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9077904"/>
        <c:crosses val="autoZero"/>
        <c:auto val="1"/>
        <c:lblAlgn val="ctr"/>
        <c:lblOffset val="100"/>
        <c:noMultiLvlLbl val="0"/>
      </c:catAx>
      <c:valAx>
        <c:axId val="17390779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sz="1200">
                    <a:latin typeface="Agency FB" panose="020B0503020202020204" pitchFamily="34" charset="0"/>
                  </a:rPr>
                  <a:t>Economy</a:t>
                </a:r>
                <a:endParaRPr lang="en-IN" sz="1200">
                  <a:latin typeface="Agency FB" panose="020B0503020202020204" pitchFamily="34" charset="0"/>
                </a:endParaRPr>
              </a:p>
            </c:rich>
          </c:tx>
          <c:layout>
            <c:manualLayout>
              <c:xMode val="edge"/>
              <c:yMode val="edge"/>
              <c:x val="1.6155503926495167E-2"/>
              <c:y val="0.4266837999416740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047823"/>
        <c:crosses val="autoZero"/>
        <c:crossBetween val="between"/>
        <c:majorUnit val="2"/>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[Bowling_dashboard.xlsx]Sheet2!PivotTable10</c:name>
    <c:fmtId val="2"/>
  </c:pivotSource>
  <c:chart>
    <c:title>
      <c:tx>
        <c:rich>
          <a:bodyPr rot="0" spcFirstLastPara="1" vertOverflow="ellipsis" vert="horz" wrap="square" anchor="ctr" anchorCtr="1"/>
          <a:lstStyle/>
          <a:p>
            <a:pPr lvl="5" algn="ctr" rtl="0">
              <a:defRPr sz="1400" b="1" i="0" u="none" strike="noStrike" kern="1200" cap="none" baseline="0">
                <a:solidFill>
                  <a:sysClr val="window" lastClr="FFFFFF">
                    <a:lumMod val="85000"/>
                  </a:sysClr>
                </a:solidFill>
                <a:latin typeface="+mn-lt"/>
                <a:ea typeface="+mn-ea"/>
                <a:cs typeface="+mn-cs"/>
              </a:defRPr>
            </a:pPr>
            <a:r>
              <a:rPr lang="en-US" sz="1800">
                <a:latin typeface="Agency FB" panose="020B0503020202020204" pitchFamily="34" charset="0"/>
              </a:rPr>
              <a:t>Economy in different formats throughout the years</a:t>
            </a:r>
          </a:p>
          <a:p>
            <a:pPr lvl="5" algn="ctr" rtl="0">
              <a:defRPr sz="1400" b="1" i="0" u="none" strike="noStrike" kern="1200" cap="none" baseline="0">
                <a:solidFill>
                  <a:sysClr val="window" lastClr="FFFFFF">
                    <a:lumMod val="85000"/>
                  </a:sysClr>
                </a:solidFill>
                <a:latin typeface="+mn-lt"/>
                <a:ea typeface="+mn-ea"/>
                <a:cs typeface="+mn-cs"/>
              </a:defRPr>
            </a:pPr>
            <a:endParaRPr lang="en-IN"/>
          </a:p>
        </c:rich>
      </c:tx>
      <c:layout>
        <c:manualLayout>
          <c:xMode val="edge"/>
          <c:yMode val="edge"/>
          <c:x val="0.25872304121322282"/>
          <c:y val="3.7526903206814233E-2"/>
        </c:manualLayout>
      </c:layout>
      <c:overlay val="0"/>
      <c:spPr>
        <a:noFill/>
        <a:ln>
          <a:noFill/>
        </a:ln>
        <a:effectLst/>
      </c:spPr>
      <c:txPr>
        <a:bodyPr rot="0" spcFirstLastPara="1" vertOverflow="ellipsis" vert="horz" wrap="square" anchor="ctr" anchorCtr="1"/>
        <a:lstStyle/>
        <a:p>
          <a:pPr lvl="5" algn="ctr" rtl="0">
            <a:defRPr sz="14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Sheet2!$F$26:$F$27</c:f>
              <c:strCache>
                <c:ptCount val="1"/>
                <c:pt idx="0">
                  <c:v>ODI</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Sheet2!$E$28:$E$40</c:f>
              <c:strCache>
                <c:ptCount val="12"/>
                <c:pt idx="0">
                  <c:v>2009</c:v>
                </c:pt>
                <c:pt idx="1">
                  <c:v>2010</c:v>
                </c:pt>
                <c:pt idx="2">
                  <c:v>2011</c:v>
                </c:pt>
                <c:pt idx="3">
                  <c:v>2012</c:v>
                </c:pt>
                <c:pt idx="4">
                  <c:v>2013</c:v>
                </c:pt>
                <c:pt idx="5">
                  <c:v>2014</c:v>
                </c:pt>
                <c:pt idx="6">
                  <c:v>2015</c:v>
                </c:pt>
                <c:pt idx="7">
                  <c:v>2016</c:v>
                </c:pt>
                <c:pt idx="8">
                  <c:v>2017</c:v>
                </c:pt>
                <c:pt idx="9">
                  <c:v>2019</c:v>
                </c:pt>
                <c:pt idx="10">
                  <c:v>2020</c:v>
                </c:pt>
                <c:pt idx="11">
                  <c:v>2022</c:v>
                </c:pt>
              </c:strCache>
            </c:strRef>
          </c:cat>
          <c:val>
            <c:numRef>
              <c:f>Sheet2!$F$28:$F$40</c:f>
              <c:numCache>
                <c:formatCode>General</c:formatCode>
                <c:ptCount val="12"/>
                <c:pt idx="0">
                  <c:v>7</c:v>
                </c:pt>
                <c:pt idx="1">
                  <c:v>5.85</c:v>
                </c:pt>
                <c:pt idx="2">
                  <c:v>5.53</c:v>
                </c:pt>
                <c:pt idx="3">
                  <c:v>6.26</c:v>
                </c:pt>
                <c:pt idx="4">
                  <c:v>7.12</c:v>
                </c:pt>
                <c:pt idx="5">
                  <c:v>6.29</c:v>
                </c:pt>
                <c:pt idx="6">
                  <c:v>6.38</c:v>
                </c:pt>
                <c:pt idx="7">
                  <c:v>6.67</c:v>
                </c:pt>
                <c:pt idx="8">
                  <c:v>5.8</c:v>
                </c:pt>
              </c:numCache>
            </c:numRef>
          </c:val>
          <c:extLst>
            <c:ext xmlns:c16="http://schemas.microsoft.com/office/drawing/2014/chart" uri="{C3380CC4-5D6E-409C-BE32-E72D297353CC}">
              <c16:uniqueId val="{00000000-2B31-4A21-8302-1FF2BF1765F6}"/>
            </c:ext>
          </c:extLst>
        </c:ser>
        <c:ser>
          <c:idx val="1"/>
          <c:order val="1"/>
          <c:tx>
            <c:strRef>
              <c:f>Sheet2!$G$26:$G$27</c:f>
              <c:strCache>
                <c:ptCount val="1"/>
                <c:pt idx="0">
                  <c:v>T20</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Sheet2!$E$28:$E$40</c:f>
              <c:strCache>
                <c:ptCount val="12"/>
                <c:pt idx="0">
                  <c:v>2009</c:v>
                </c:pt>
                <c:pt idx="1">
                  <c:v>2010</c:v>
                </c:pt>
                <c:pt idx="2">
                  <c:v>2011</c:v>
                </c:pt>
                <c:pt idx="3">
                  <c:v>2012</c:v>
                </c:pt>
                <c:pt idx="4">
                  <c:v>2013</c:v>
                </c:pt>
                <c:pt idx="5">
                  <c:v>2014</c:v>
                </c:pt>
                <c:pt idx="6">
                  <c:v>2015</c:v>
                </c:pt>
                <c:pt idx="7">
                  <c:v>2016</c:v>
                </c:pt>
                <c:pt idx="8">
                  <c:v>2017</c:v>
                </c:pt>
                <c:pt idx="9">
                  <c:v>2019</c:v>
                </c:pt>
                <c:pt idx="10">
                  <c:v>2020</c:v>
                </c:pt>
                <c:pt idx="11">
                  <c:v>2022</c:v>
                </c:pt>
              </c:strCache>
            </c:strRef>
          </c:cat>
          <c:val>
            <c:numRef>
              <c:f>Sheet2!$G$28:$G$40</c:f>
              <c:numCache>
                <c:formatCode>General</c:formatCode>
                <c:ptCount val="12"/>
                <c:pt idx="2">
                  <c:v>6.18</c:v>
                </c:pt>
                <c:pt idx="3">
                  <c:v>8.27</c:v>
                </c:pt>
                <c:pt idx="4">
                  <c:v>12</c:v>
                </c:pt>
                <c:pt idx="7">
                  <c:v>9</c:v>
                </c:pt>
                <c:pt idx="11">
                  <c:v>6</c:v>
                </c:pt>
              </c:numCache>
            </c:numRef>
          </c:val>
          <c:extLst>
            <c:ext xmlns:c16="http://schemas.microsoft.com/office/drawing/2014/chart" uri="{C3380CC4-5D6E-409C-BE32-E72D297353CC}">
              <c16:uniqueId val="{00000009-2B31-4A21-8302-1FF2BF1765F6}"/>
            </c:ext>
          </c:extLst>
        </c:ser>
        <c:ser>
          <c:idx val="2"/>
          <c:order val="2"/>
          <c:tx>
            <c:strRef>
              <c:f>Sheet2!$H$26:$H$27</c:f>
              <c:strCache>
                <c:ptCount val="1"/>
                <c:pt idx="0">
                  <c:v>Test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Sheet2!$E$28:$E$40</c:f>
              <c:strCache>
                <c:ptCount val="12"/>
                <c:pt idx="0">
                  <c:v>2009</c:v>
                </c:pt>
                <c:pt idx="1">
                  <c:v>2010</c:v>
                </c:pt>
                <c:pt idx="2">
                  <c:v>2011</c:v>
                </c:pt>
                <c:pt idx="3">
                  <c:v>2012</c:v>
                </c:pt>
                <c:pt idx="4">
                  <c:v>2013</c:v>
                </c:pt>
                <c:pt idx="5">
                  <c:v>2014</c:v>
                </c:pt>
                <c:pt idx="6">
                  <c:v>2015</c:v>
                </c:pt>
                <c:pt idx="7">
                  <c:v>2016</c:v>
                </c:pt>
                <c:pt idx="8">
                  <c:v>2017</c:v>
                </c:pt>
                <c:pt idx="9">
                  <c:v>2019</c:v>
                </c:pt>
                <c:pt idx="10">
                  <c:v>2020</c:v>
                </c:pt>
                <c:pt idx="11">
                  <c:v>2022</c:v>
                </c:pt>
              </c:strCache>
            </c:strRef>
          </c:cat>
          <c:val>
            <c:numRef>
              <c:f>Sheet2!$H$28:$H$40</c:f>
              <c:numCache>
                <c:formatCode>General</c:formatCode>
                <c:ptCount val="12"/>
                <c:pt idx="2">
                  <c:v>4.5</c:v>
                </c:pt>
                <c:pt idx="3">
                  <c:v>2.89</c:v>
                </c:pt>
                <c:pt idx="4">
                  <c:v>3</c:v>
                </c:pt>
                <c:pt idx="5">
                  <c:v>2.4300000000000002</c:v>
                </c:pt>
                <c:pt idx="6">
                  <c:v>0</c:v>
                </c:pt>
                <c:pt idx="8">
                  <c:v>2.77</c:v>
                </c:pt>
                <c:pt idx="9">
                  <c:v>4</c:v>
                </c:pt>
                <c:pt idx="10">
                  <c:v>4</c:v>
                </c:pt>
              </c:numCache>
            </c:numRef>
          </c:val>
          <c:extLst>
            <c:ext xmlns:c16="http://schemas.microsoft.com/office/drawing/2014/chart" uri="{C3380CC4-5D6E-409C-BE32-E72D297353CC}">
              <c16:uniqueId val="{0000000A-2B31-4A21-8302-1FF2BF1765F6}"/>
            </c:ext>
          </c:extLst>
        </c:ser>
        <c:dLbls>
          <c:dLblPos val="outEnd"/>
          <c:showLegendKey val="0"/>
          <c:showVal val="1"/>
          <c:showCatName val="0"/>
          <c:showSerName val="0"/>
          <c:showPercent val="0"/>
          <c:showBubbleSize val="0"/>
        </c:dLbls>
        <c:gapWidth val="315"/>
        <c:overlap val="-40"/>
        <c:axId val="336702287"/>
        <c:axId val="341266159"/>
      </c:barChart>
      <c:catAx>
        <c:axId val="336702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1266159"/>
        <c:crosses val="autoZero"/>
        <c:auto val="1"/>
        <c:lblAlgn val="ctr"/>
        <c:lblOffset val="100"/>
        <c:noMultiLvlLbl val="0"/>
      </c:catAx>
      <c:valAx>
        <c:axId val="3412661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200">
                    <a:latin typeface="Agency FB" panose="020B0503020202020204" pitchFamily="34" charset="0"/>
                  </a:rPr>
                  <a:t>Economy</a:t>
                </a:r>
              </a:p>
            </c:rich>
          </c:tx>
          <c:layout>
            <c:manualLayout>
              <c:xMode val="edge"/>
              <c:yMode val="edge"/>
              <c:x val="1.3094832566572212E-2"/>
              <c:y val="0.4616342228054826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67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[Bowling_dashboard.xlsx]Sheet2!PivotTable11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sz="1800" b="1" i="0" u="none" strike="noStrike" kern="1200" cap="none" baseline="0">
                <a:solidFill>
                  <a:sysClr val="window" lastClr="FFFFFF">
                    <a:lumMod val="85000"/>
                  </a:sysClr>
                </a:solidFill>
                <a:latin typeface="Agency FB" panose="020B0503020202020204" pitchFamily="34" charset="0"/>
              </a:rPr>
              <a:t>Sum of overs in different formats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85000"/>
                  </a:sysClr>
                </a:solidFill>
              </a:defRPr>
            </a:pPr>
            <a:endParaRPr lang="en-IN" sz="1800">
              <a:latin typeface="Agency FB" panose="020B0503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3660720233418"/>
          <c:y val="0.19236111111111112"/>
          <c:w val="0.81618210341198261"/>
          <c:h val="0.70023950131233592"/>
        </c:manualLayout>
      </c:layout>
      <c:barChart>
        <c:barDir val="col"/>
        <c:grouping val="clustered"/>
        <c:varyColors val="0"/>
        <c:ser>
          <c:idx val="0"/>
          <c:order val="0"/>
          <c:tx>
            <c:strRef>
              <c:f>Sheet2!$B$28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Sheet2!$A$29:$A$32</c:f>
              <c:strCache>
                <c:ptCount val="3"/>
                <c:pt idx="0">
                  <c:v>ODI</c:v>
                </c:pt>
                <c:pt idx="1">
                  <c:v>T20</c:v>
                </c:pt>
                <c:pt idx="2">
                  <c:v>Test</c:v>
                </c:pt>
              </c:strCache>
            </c:strRef>
          </c:cat>
          <c:val>
            <c:numRef>
              <c:f>Sheet2!$B$29:$B$32</c:f>
              <c:numCache>
                <c:formatCode>General</c:formatCode>
                <c:ptCount val="3"/>
                <c:pt idx="0">
                  <c:v>106.10000000000001</c:v>
                </c:pt>
                <c:pt idx="1">
                  <c:v>24.799999999999997</c:v>
                </c:pt>
                <c:pt idx="2">
                  <c:v>29.1</c:v>
                </c:pt>
              </c:numCache>
            </c:numRef>
          </c:val>
          <c:extLst>
            <c:ext xmlns:c16="http://schemas.microsoft.com/office/drawing/2014/chart" uri="{C3380CC4-5D6E-409C-BE32-E72D297353CC}">
              <c16:uniqueId val="{00000000-7C2F-4512-A523-7C32EBD654F2}"/>
            </c:ext>
          </c:extLst>
        </c:ser>
        <c:dLbls>
          <c:dLblPos val="outEnd"/>
          <c:showLegendKey val="0"/>
          <c:showVal val="1"/>
          <c:showCatName val="0"/>
          <c:showSerName val="0"/>
          <c:showPercent val="0"/>
          <c:showBubbleSize val="0"/>
        </c:dLbls>
        <c:gapWidth val="315"/>
        <c:overlap val="-40"/>
        <c:axId val="105786864"/>
        <c:axId val="168735711"/>
      </c:barChart>
      <c:catAx>
        <c:axId val="105786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735711"/>
        <c:crosses val="autoZero"/>
        <c:auto val="1"/>
        <c:lblAlgn val="ctr"/>
        <c:lblOffset val="100"/>
        <c:noMultiLvlLbl val="0"/>
      </c:catAx>
      <c:valAx>
        <c:axId val="168735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200">
                    <a:latin typeface="Agency FB" panose="020B0503020202020204" pitchFamily="34" charset="0"/>
                  </a:rPr>
                  <a:t>Number</a:t>
                </a:r>
                <a:r>
                  <a:rPr lang="en-IN" sz="1200" baseline="0">
                    <a:latin typeface="Agency FB" panose="020B0503020202020204" pitchFamily="34" charset="0"/>
                  </a:rPr>
                  <a:t> of overs</a:t>
                </a:r>
                <a:endParaRPr lang="en-IN" sz="1200">
                  <a:latin typeface="Agency FB" panose="020B0503020202020204" pitchFamily="34" charset="0"/>
                </a:endParaRPr>
              </a:p>
            </c:rich>
          </c:tx>
          <c:layout>
            <c:manualLayout>
              <c:xMode val="edge"/>
              <c:yMode val="edge"/>
              <c:x val="2.8116215244008039E-2"/>
              <c:y val="0.3601775298920968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786864"/>
        <c:crosses val="autoZero"/>
        <c:crossBetween val="between"/>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31</xdr:row>
      <xdr:rowOff>120650</xdr:rowOff>
    </xdr:from>
    <xdr:to>
      <xdr:col>7</xdr:col>
      <xdr:colOff>501650</xdr:colOff>
      <xdr:row>46</xdr:row>
      <xdr:rowOff>101600</xdr:rowOff>
    </xdr:to>
    <xdr:graphicFrame macro="">
      <xdr:nvGraphicFramePr>
        <xdr:cNvPr id="6" name="Chart 1">
          <a:extLst>
            <a:ext uri="{FF2B5EF4-FFF2-40B4-BE49-F238E27FC236}">
              <a16:creationId xmlns:a16="http://schemas.microsoft.com/office/drawing/2014/main" id="{C22DB428-F1CC-D010-316A-002550FA4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31</xdr:row>
      <xdr:rowOff>127000</xdr:rowOff>
    </xdr:from>
    <xdr:to>
      <xdr:col>15</xdr:col>
      <xdr:colOff>469900</xdr:colOff>
      <xdr:row>46</xdr:row>
      <xdr:rowOff>107950</xdr:rowOff>
    </xdr:to>
    <xdr:graphicFrame macro="">
      <xdr:nvGraphicFramePr>
        <xdr:cNvPr id="7" name="Chart 2">
          <a:extLst>
            <a:ext uri="{FF2B5EF4-FFF2-40B4-BE49-F238E27FC236}">
              <a16:creationId xmlns:a16="http://schemas.microsoft.com/office/drawing/2014/main" id="{AEB926E3-1BB5-7D8E-02A8-FD63CF7B6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46</xdr:row>
      <xdr:rowOff>139700</xdr:rowOff>
    </xdr:from>
    <xdr:to>
      <xdr:col>7</xdr:col>
      <xdr:colOff>501650</xdr:colOff>
      <xdr:row>61</xdr:row>
      <xdr:rowOff>120650</xdr:rowOff>
    </xdr:to>
    <xdr:graphicFrame macro="">
      <xdr:nvGraphicFramePr>
        <xdr:cNvPr id="8" name="Chart 3">
          <a:extLst>
            <a:ext uri="{FF2B5EF4-FFF2-40B4-BE49-F238E27FC236}">
              <a16:creationId xmlns:a16="http://schemas.microsoft.com/office/drawing/2014/main" id="{042064C3-0C9E-7E7B-4F28-40164F821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513534</xdr:colOff>
      <xdr:row>1</xdr:row>
      <xdr:rowOff>88384</xdr:rowOff>
    </xdr:from>
    <xdr:to>
      <xdr:col>18</xdr:col>
      <xdr:colOff>513534</xdr:colOff>
      <xdr:row>21</xdr:row>
      <xdr:rowOff>172707</xdr:rowOff>
    </xdr:to>
    <mc:AlternateContent xmlns:mc="http://schemas.openxmlformats.org/markup-compatibility/2006">
      <mc:Choice xmlns:a14="http://schemas.microsoft.com/office/drawing/2010/main" Requires="a14">
        <xdr:graphicFrame macro="">
          <xdr:nvGraphicFramePr>
            <xdr:cNvPr id="23" name="Year">
              <a:extLst>
                <a:ext uri="{FF2B5EF4-FFF2-40B4-BE49-F238E27FC236}">
                  <a16:creationId xmlns:a16="http://schemas.microsoft.com/office/drawing/2014/main" id="{B3F5754B-D77E-69AC-788E-E653D6F92BB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672188" y="796653"/>
              <a:ext cx="1831731" cy="3747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26377</xdr:colOff>
      <xdr:row>1</xdr:row>
      <xdr:rowOff>85481</xdr:rowOff>
    </xdr:from>
    <xdr:to>
      <xdr:col>7</xdr:col>
      <xdr:colOff>531202</xdr:colOff>
      <xdr:row>16</xdr:row>
      <xdr:rowOff>74980</xdr:rowOff>
    </xdr:to>
    <xdr:graphicFrame macro="">
      <xdr:nvGraphicFramePr>
        <xdr:cNvPr id="5" name="Chart 1">
          <a:extLst>
            <a:ext uri="{FF2B5EF4-FFF2-40B4-BE49-F238E27FC236}">
              <a16:creationId xmlns:a16="http://schemas.microsoft.com/office/drawing/2014/main" id="{0DAF2B4D-B4AF-3EEA-ED70-8849A4000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600486</xdr:colOff>
      <xdr:row>1</xdr:row>
      <xdr:rowOff>78258</xdr:rowOff>
    </xdr:from>
    <xdr:to>
      <xdr:col>15</xdr:col>
      <xdr:colOff>451183</xdr:colOff>
      <xdr:row>16</xdr:row>
      <xdr:rowOff>73862</xdr:rowOff>
    </xdr:to>
    <xdr:graphicFrame macro="">
      <xdr:nvGraphicFramePr>
        <xdr:cNvPr id="10" name="Chart 4">
          <a:extLst>
            <a:ext uri="{FF2B5EF4-FFF2-40B4-BE49-F238E27FC236}">
              <a16:creationId xmlns:a16="http://schemas.microsoft.com/office/drawing/2014/main" id="{E9B5C496-DE57-B1F8-F5D0-740D2703B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35975</xdr:colOff>
      <xdr:row>16</xdr:row>
      <xdr:rowOff>109825</xdr:rowOff>
    </xdr:from>
    <xdr:to>
      <xdr:col>15</xdr:col>
      <xdr:colOff>492449</xdr:colOff>
      <xdr:row>31</xdr:row>
      <xdr:rowOff>95788</xdr:rowOff>
    </xdr:to>
    <xdr:graphicFrame macro="">
      <xdr:nvGraphicFramePr>
        <xdr:cNvPr id="11" name="Chart 6">
          <a:extLst>
            <a:ext uri="{FF2B5EF4-FFF2-40B4-BE49-F238E27FC236}">
              <a16:creationId xmlns:a16="http://schemas.microsoft.com/office/drawing/2014/main" id="{F8262B86-DE0C-CE52-D931-CECBF91C4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559665</xdr:colOff>
      <xdr:row>46</xdr:row>
      <xdr:rowOff>133863</xdr:rowOff>
    </xdr:from>
    <xdr:to>
      <xdr:col>15</xdr:col>
      <xdr:colOff>468231</xdr:colOff>
      <xdr:row>61</xdr:row>
      <xdr:rowOff>115455</xdr:rowOff>
    </xdr:to>
    <xdr:graphicFrame macro="">
      <xdr:nvGraphicFramePr>
        <xdr:cNvPr id="12" name="Chart 8">
          <a:extLst>
            <a:ext uri="{FF2B5EF4-FFF2-40B4-BE49-F238E27FC236}">
              <a16:creationId xmlns:a16="http://schemas.microsoft.com/office/drawing/2014/main" id="{C1091FD3-16F0-F909-1533-6B9873D1E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singh" refreshedDate="45218.441710995372" createdVersion="8" refreshedVersion="8" minRefreshableVersion="3" recordCount="22" xr:uid="{446476D6-3B71-494F-9EB2-BE24F33F919A}">
  <cacheSource type="worksheet">
    <worksheetSource name="Balling__2"/>
  </cacheSource>
  <cacheFields count="14">
    <cacheField name="Year" numFmtId="0">
      <sharedItems containsSemiMixedTypes="0" containsString="0" containsNumber="1" containsInteger="1" minValue="2009" maxValue="2022" count="12">
        <n v="2011"/>
        <n v="2012"/>
        <n v="2013"/>
        <n v="2014"/>
        <n v="2015"/>
        <n v="2017"/>
        <n v="2019"/>
        <n v="2020"/>
        <n v="2009"/>
        <n v="2010"/>
        <n v="2016"/>
        <n v="2022"/>
      </sharedItems>
    </cacheField>
    <cacheField name="Innings" numFmtId="0">
      <sharedItems containsSemiMixedTypes="0" containsString="0" containsNumber="1" containsInteger="1" minValue="1" maxValue="12" count="8">
        <n v="1"/>
        <n v="2"/>
        <n v="3"/>
        <n v="12"/>
        <n v="5"/>
        <n v="7"/>
        <n v="4"/>
        <n v="8"/>
      </sharedItems>
    </cacheField>
    <cacheField name="Overs" numFmtId="0">
      <sharedItems containsSemiMixedTypes="0" containsString="0" containsNumber="1" minValue="1" maxValue="34" count="17">
        <n v="2"/>
        <n v="9"/>
        <n v="6"/>
        <n v="7"/>
        <n v="1"/>
        <n v="2.1"/>
        <n v="3"/>
        <n v="6.4"/>
        <n v="34"/>
        <n v="7.5"/>
        <n v="25"/>
        <n v="17"/>
        <n v="5.2"/>
        <n v="5"/>
        <n v="5.4"/>
        <n v="15"/>
        <n v="1.4"/>
      </sharedItems>
    </cacheField>
    <cacheField name="Runs" numFmtId="0">
      <sharedItems containsSemiMixedTypes="0" containsString="0" containsNumber="1" containsInteger="1" minValue="0" maxValue="188" count="20">
        <n v="9"/>
        <n v="26"/>
        <n v="18"/>
        <n v="17"/>
        <n v="0"/>
        <n v="6"/>
        <n v="4"/>
        <n v="21"/>
        <n v="39"/>
        <n v="188"/>
        <n v="49"/>
        <n v="178"/>
        <n v="107"/>
        <n v="34"/>
        <n v="20"/>
        <n v="29"/>
        <n v="35"/>
        <n v="124"/>
        <n v="24"/>
        <n v="15"/>
      </sharedItems>
    </cacheField>
    <cacheField name="Wickets" numFmtId="0">
      <sharedItems containsSemiMixedTypes="0" containsString="0" containsNumber="1" containsInteger="1" minValue="0" maxValue="2" count="3">
        <n v="0"/>
        <n v="2"/>
        <n v="1"/>
      </sharedItems>
    </cacheField>
    <cacheField name="Econ" numFmtId="0">
      <sharedItems containsSemiMixedTypes="0" containsString="0" containsNumber="1" minValue="0" maxValue="12" count="21">
        <n v="4.5"/>
        <n v="2.89"/>
        <n v="3"/>
        <n v="2.4300000000000002"/>
        <n v="0"/>
        <n v="2.77"/>
        <n v="4"/>
        <n v="7"/>
        <n v="5.85"/>
        <n v="5.53"/>
        <n v="6.26"/>
        <n v="7.12"/>
        <n v="6.29"/>
        <n v="6.38"/>
        <n v="6.67"/>
        <n v="5.8"/>
        <n v="6.18"/>
        <n v="8.27"/>
        <n v="12"/>
        <n v="9"/>
        <n v="6"/>
      </sharedItems>
    </cacheField>
    <cacheField name="Avg" numFmtId="0">
      <sharedItems containsMixedTypes="1" containsNumber="1" containsInteger="1" minValue="0" maxValue="0" count="7">
        <n v="0"/>
        <s v="94.0"/>
        <s v="178.0"/>
        <s v="107.0"/>
        <s v="17.5"/>
        <s v="124.0"/>
        <s v="15.0"/>
      </sharedItems>
    </cacheField>
    <cacheField name="SR" numFmtId="0">
      <sharedItems containsMixedTypes="1" containsNumber="1" containsInteger="1" minValue="0" maxValue="0" count="6">
        <n v="0"/>
        <s v="102.0"/>
        <s v="150.0"/>
        <s v="17.0"/>
        <s v="90.0"/>
        <s v="10.0"/>
      </sharedItems>
    </cacheField>
    <cacheField name="5W" numFmtId="0">
      <sharedItems containsSemiMixedTypes="0" containsString="0" containsNumber="1" containsInteger="1" minValue="0" maxValue="0" count="1">
        <n v="0"/>
      </sharedItems>
    </cacheField>
    <cacheField name="BBI" numFmtId="0">
      <sharedItems count="17">
        <s v="0/9"/>
        <s v="0/3"/>
        <s v="0/18"/>
        <s v="0/4"/>
        <s v="1/1000"/>
        <s v="0/1"/>
        <s v="0/21"/>
        <s v="0/11"/>
        <s v="1/20"/>
        <s v="1/15"/>
        <s v="1/36"/>
        <s v="0/7"/>
        <s v="0/12"/>
        <s v="1/13"/>
        <s v="1/21"/>
        <s v="0/24"/>
        <s v="0/6"/>
      </sharedItems>
    </cacheField>
    <cacheField name="4s" numFmtId="0">
      <sharedItems containsSemiMixedTypes="0" containsString="0" containsNumber="1" containsInteger="1" minValue="0" maxValue="12" count="5">
        <n v="1"/>
        <n v="3"/>
        <n v="2"/>
        <n v="0"/>
        <n v="12"/>
      </sharedItems>
    </cacheField>
    <cacheField name="6s" numFmtId="0">
      <sharedItems containsSemiMixedTypes="0" containsString="0" containsNumber="1" containsInteger="1" minValue="0" maxValue="6" count="4">
        <n v="0"/>
        <n v="2"/>
        <n v="6"/>
        <n v="1"/>
      </sharedItems>
    </cacheField>
    <cacheField name="Dot%" numFmtId="0">
      <sharedItems containsSemiMixedTypes="0" containsString="0" containsNumber="1" minValue="16.7" maxValue="100" count="20">
        <n v="58.3"/>
        <n v="74.099999999999994"/>
        <n v="63.9"/>
        <n v="81"/>
        <n v="100"/>
        <n v="76.900000000000006"/>
        <n v="83.3"/>
        <n v="22.2"/>
        <n v="35"/>
        <n v="39.200000000000003"/>
        <n v="38.299999999999997"/>
        <n v="38"/>
        <n v="28.1"/>
        <n v="27.8"/>
        <n v="36.700000000000003"/>
        <n v="44.1"/>
        <n v="25.6"/>
        <n v="25"/>
        <n v="40"/>
        <n v="16.7"/>
      </sharedItems>
    </cacheField>
    <cacheField name="Formate" numFmtId="0">
      <sharedItems count="3">
        <s v="Test"/>
        <s v="ODI"/>
        <s v="T20"/>
      </sharedItems>
    </cacheField>
  </cacheFields>
  <extLst>
    <ext xmlns:x14="http://schemas.microsoft.com/office/spreadsheetml/2009/9/main" uri="{725AE2AE-9491-48be-B2B4-4EB974FC3084}">
      <x14:pivotCacheDefinition pivotCacheId="21685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x v="0"/>
    <x v="0"/>
    <x v="0"/>
    <x v="0"/>
    <x v="0"/>
    <x v="0"/>
    <x v="0"/>
    <x v="0"/>
    <x v="0"/>
    <x v="0"/>
    <x v="0"/>
  </r>
  <r>
    <x v="1"/>
    <x v="1"/>
    <x v="1"/>
    <x v="1"/>
    <x v="0"/>
    <x v="1"/>
    <x v="0"/>
    <x v="0"/>
    <x v="0"/>
    <x v="1"/>
    <x v="1"/>
    <x v="0"/>
    <x v="1"/>
    <x v="0"/>
  </r>
  <r>
    <x v="2"/>
    <x v="0"/>
    <x v="2"/>
    <x v="2"/>
    <x v="0"/>
    <x v="2"/>
    <x v="0"/>
    <x v="0"/>
    <x v="0"/>
    <x v="2"/>
    <x v="0"/>
    <x v="0"/>
    <x v="2"/>
    <x v="0"/>
  </r>
  <r>
    <x v="3"/>
    <x v="1"/>
    <x v="3"/>
    <x v="3"/>
    <x v="0"/>
    <x v="3"/>
    <x v="0"/>
    <x v="0"/>
    <x v="0"/>
    <x v="3"/>
    <x v="2"/>
    <x v="0"/>
    <x v="3"/>
    <x v="0"/>
  </r>
  <r>
    <x v="4"/>
    <x v="0"/>
    <x v="4"/>
    <x v="4"/>
    <x v="0"/>
    <x v="4"/>
    <x v="0"/>
    <x v="0"/>
    <x v="0"/>
    <x v="4"/>
    <x v="3"/>
    <x v="0"/>
    <x v="4"/>
    <x v="0"/>
  </r>
  <r>
    <x v="5"/>
    <x v="1"/>
    <x v="5"/>
    <x v="5"/>
    <x v="0"/>
    <x v="5"/>
    <x v="0"/>
    <x v="0"/>
    <x v="0"/>
    <x v="5"/>
    <x v="0"/>
    <x v="0"/>
    <x v="5"/>
    <x v="0"/>
  </r>
  <r>
    <x v="6"/>
    <x v="0"/>
    <x v="4"/>
    <x v="6"/>
    <x v="0"/>
    <x v="6"/>
    <x v="0"/>
    <x v="0"/>
    <x v="0"/>
    <x v="3"/>
    <x v="0"/>
    <x v="0"/>
    <x v="6"/>
    <x v="0"/>
  </r>
  <r>
    <x v="7"/>
    <x v="0"/>
    <x v="4"/>
    <x v="6"/>
    <x v="0"/>
    <x v="6"/>
    <x v="0"/>
    <x v="0"/>
    <x v="0"/>
    <x v="3"/>
    <x v="0"/>
    <x v="0"/>
    <x v="6"/>
    <x v="0"/>
  </r>
  <r>
    <x v="8"/>
    <x v="0"/>
    <x v="6"/>
    <x v="7"/>
    <x v="0"/>
    <x v="7"/>
    <x v="0"/>
    <x v="0"/>
    <x v="0"/>
    <x v="6"/>
    <x v="2"/>
    <x v="0"/>
    <x v="7"/>
    <x v="1"/>
  </r>
  <r>
    <x v="9"/>
    <x v="2"/>
    <x v="7"/>
    <x v="8"/>
    <x v="0"/>
    <x v="8"/>
    <x v="0"/>
    <x v="0"/>
    <x v="0"/>
    <x v="7"/>
    <x v="1"/>
    <x v="0"/>
    <x v="8"/>
    <x v="1"/>
  </r>
  <r>
    <x v="0"/>
    <x v="3"/>
    <x v="8"/>
    <x v="9"/>
    <x v="1"/>
    <x v="9"/>
    <x v="1"/>
    <x v="1"/>
    <x v="0"/>
    <x v="8"/>
    <x v="4"/>
    <x v="1"/>
    <x v="9"/>
    <x v="1"/>
  </r>
  <r>
    <x v="1"/>
    <x v="4"/>
    <x v="9"/>
    <x v="10"/>
    <x v="0"/>
    <x v="10"/>
    <x v="0"/>
    <x v="0"/>
    <x v="0"/>
    <x v="1"/>
    <x v="2"/>
    <x v="0"/>
    <x v="10"/>
    <x v="1"/>
  </r>
  <r>
    <x v="2"/>
    <x v="3"/>
    <x v="10"/>
    <x v="11"/>
    <x v="2"/>
    <x v="11"/>
    <x v="2"/>
    <x v="2"/>
    <x v="0"/>
    <x v="9"/>
    <x v="4"/>
    <x v="2"/>
    <x v="11"/>
    <x v="1"/>
  </r>
  <r>
    <x v="3"/>
    <x v="5"/>
    <x v="11"/>
    <x v="12"/>
    <x v="2"/>
    <x v="12"/>
    <x v="3"/>
    <x v="1"/>
    <x v="0"/>
    <x v="10"/>
    <x v="4"/>
    <x v="3"/>
    <x v="9"/>
    <x v="1"/>
  </r>
  <r>
    <x v="4"/>
    <x v="6"/>
    <x v="12"/>
    <x v="13"/>
    <x v="0"/>
    <x v="13"/>
    <x v="0"/>
    <x v="0"/>
    <x v="0"/>
    <x v="5"/>
    <x v="2"/>
    <x v="0"/>
    <x v="12"/>
    <x v="1"/>
  </r>
  <r>
    <x v="10"/>
    <x v="1"/>
    <x v="6"/>
    <x v="14"/>
    <x v="0"/>
    <x v="14"/>
    <x v="0"/>
    <x v="0"/>
    <x v="0"/>
    <x v="11"/>
    <x v="2"/>
    <x v="0"/>
    <x v="13"/>
    <x v="1"/>
  </r>
  <r>
    <x v="5"/>
    <x v="1"/>
    <x v="13"/>
    <x v="15"/>
    <x v="0"/>
    <x v="15"/>
    <x v="0"/>
    <x v="0"/>
    <x v="0"/>
    <x v="12"/>
    <x v="1"/>
    <x v="0"/>
    <x v="14"/>
    <x v="1"/>
  </r>
  <r>
    <x v="0"/>
    <x v="1"/>
    <x v="14"/>
    <x v="16"/>
    <x v="1"/>
    <x v="16"/>
    <x v="4"/>
    <x v="3"/>
    <x v="0"/>
    <x v="13"/>
    <x v="1"/>
    <x v="0"/>
    <x v="15"/>
    <x v="2"/>
  </r>
  <r>
    <x v="1"/>
    <x v="7"/>
    <x v="15"/>
    <x v="17"/>
    <x v="2"/>
    <x v="17"/>
    <x v="5"/>
    <x v="4"/>
    <x v="0"/>
    <x v="14"/>
    <x v="4"/>
    <x v="1"/>
    <x v="16"/>
    <x v="2"/>
  </r>
  <r>
    <x v="2"/>
    <x v="0"/>
    <x v="0"/>
    <x v="18"/>
    <x v="0"/>
    <x v="18"/>
    <x v="0"/>
    <x v="0"/>
    <x v="0"/>
    <x v="15"/>
    <x v="2"/>
    <x v="3"/>
    <x v="17"/>
    <x v="2"/>
  </r>
  <r>
    <x v="10"/>
    <x v="0"/>
    <x v="16"/>
    <x v="19"/>
    <x v="2"/>
    <x v="19"/>
    <x v="6"/>
    <x v="5"/>
    <x v="0"/>
    <x v="9"/>
    <x v="0"/>
    <x v="3"/>
    <x v="18"/>
    <x v="2"/>
  </r>
  <r>
    <x v="11"/>
    <x v="0"/>
    <x v="4"/>
    <x v="5"/>
    <x v="0"/>
    <x v="20"/>
    <x v="0"/>
    <x v="0"/>
    <x v="0"/>
    <x v="16"/>
    <x v="3"/>
    <x v="0"/>
    <x v="1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F6F5F-08A5-4A24-95E3-022D23AA667B}"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B32" firstHeaderRow="1" firstDataRow="1" firstDataCol="1"/>
  <pivotFields count="14">
    <pivotField showAll="0">
      <items count="13">
        <item x="8"/>
        <item x="9"/>
        <item x="0"/>
        <item x="1"/>
        <item x="2"/>
        <item x="3"/>
        <item x="4"/>
        <item x="10"/>
        <item x="5"/>
        <item x="6"/>
        <item x="7"/>
        <item x="1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3"/>
  </rowFields>
  <rowItems count="4">
    <i>
      <x/>
    </i>
    <i>
      <x v="1"/>
    </i>
    <i>
      <x v="2"/>
    </i>
    <i t="grand">
      <x/>
    </i>
  </rowItems>
  <colItems count="1">
    <i/>
  </colItems>
  <dataFields count="1">
    <dataField name="Sum of Overs" fld="2" baseField="0" baseItem="0"/>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B0E791-D687-44F2-991F-F3463F191FA0}"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6:I40" firstHeaderRow="1" firstDataRow="2" firstDataCol="1"/>
  <pivotFields count="14">
    <pivotField axis="axisRow" showAll="0">
      <items count="13">
        <item x="8"/>
        <item x="9"/>
        <item x="0"/>
        <item x="1"/>
        <item x="2"/>
        <item x="3"/>
        <item x="4"/>
        <item x="10"/>
        <item x="5"/>
        <item x="6"/>
        <item x="7"/>
        <item x="1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axis="axisCol" showAll="0">
      <items count="4">
        <item x="1"/>
        <item x="2"/>
        <item x="0"/>
        <item t="default"/>
      </items>
    </pivotField>
  </pivotFields>
  <rowFields count="1">
    <field x="0"/>
  </rowFields>
  <rowItems count="13">
    <i>
      <x/>
    </i>
    <i>
      <x v="1"/>
    </i>
    <i>
      <x v="2"/>
    </i>
    <i>
      <x v="3"/>
    </i>
    <i>
      <x v="4"/>
    </i>
    <i>
      <x v="5"/>
    </i>
    <i>
      <x v="6"/>
    </i>
    <i>
      <x v="7"/>
    </i>
    <i>
      <x v="8"/>
    </i>
    <i>
      <x v="9"/>
    </i>
    <i>
      <x v="10"/>
    </i>
    <i>
      <x v="11"/>
    </i>
    <i t="grand">
      <x/>
    </i>
  </rowItems>
  <colFields count="1">
    <field x="13"/>
  </colFields>
  <colItems count="4">
    <i>
      <x/>
    </i>
    <i>
      <x v="1"/>
    </i>
    <i>
      <x v="2"/>
    </i>
    <i t="grand">
      <x/>
    </i>
  </colItems>
  <dataFields count="1">
    <dataField name="Sum of Econ" fld="5" baseField="0" baseItem="0"/>
  </dataFields>
  <chartFormats count="3">
    <chartFormat chart="2" format="21" series="1">
      <pivotArea type="data" outline="0" fieldPosition="0">
        <references count="2">
          <reference field="4294967294" count="1" selected="0">
            <x v="0"/>
          </reference>
          <reference field="13" count="1" selected="0">
            <x v="0"/>
          </reference>
        </references>
      </pivotArea>
    </chartFormat>
    <chartFormat chart="2" format="22" series="1">
      <pivotArea type="data" outline="0" fieldPosition="0">
        <references count="2">
          <reference field="4294967294" count="1" selected="0">
            <x v="0"/>
          </reference>
          <reference field="13" count="1" selected="0">
            <x v="1"/>
          </reference>
        </references>
      </pivotArea>
    </chartFormat>
    <chartFormat chart="2" format="23"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5A04E2-F5AE-495F-9654-F48D4AD4C10F}"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B26" firstHeaderRow="1" firstDataRow="1" firstDataCol="1"/>
  <pivotFields count="14">
    <pivotField showAll="0">
      <items count="13">
        <item x="8"/>
        <item x="9"/>
        <item x="0"/>
        <item x="1"/>
        <item x="2"/>
        <item x="3"/>
        <item x="4"/>
        <item x="10"/>
        <item x="5"/>
        <item x="6"/>
        <item x="7"/>
        <item x="1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3"/>
  </rowFields>
  <rowItems count="4">
    <i>
      <x/>
    </i>
    <i>
      <x v="1"/>
    </i>
    <i>
      <x v="2"/>
    </i>
    <i t="grand">
      <x/>
    </i>
  </rowItems>
  <colItems count="1">
    <i/>
  </colItems>
  <dataFields count="1">
    <dataField name="Average of Econ" fld="5" subtotal="average" baseField="13" baseItem="1"/>
  </dataFields>
  <formats count="3">
    <format dxfId="17">
      <pivotArea collapsedLevelsAreSubtotals="1" fieldPosition="0">
        <references count="1">
          <reference field="13" count="1">
            <x v="0"/>
          </reference>
        </references>
      </pivotArea>
    </format>
    <format dxfId="16">
      <pivotArea collapsedLevelsAreSubtotals="1" fieldPosition="0">
        <references count="1">
          <reference field="13" count="1">
            <x v="2"/>
          </reference>
        </references>
      </pivotArea>
    </format>
    <format dxfId="15">
      <pivotArea grandRow="1" outline="0" collapsedLevelsAreSubtotals="1" fieldPosition="0"/>
    </format>
  </formats>
  <chartFormats count="1">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7F5681-A874-4D2D-B2DA-72720E1A66C2}"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B20" firstHeaderRow="1" firstDataRow="1" firstDataCol="1"/>
  <pivotFields count="14">
    <pivotField showAll="0">
      <items count="13">
        <item x="8"/>
        <item x="9"/>
        <item x="0"/>
        <item x="1"/>
        <item x="2"/>
        <item x="3"/>
        <item x="4"/>
        <item x="10"/>
        <item x="5"/>
        <item x="6"/>
        <item x="7"/>
        <item x="1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3"/>
  </rowFields>
  <rowItems count="4">
    <i>
      <x/>
    </i>
    <i>
      <x v="1"/>
    </i>
    <i>
      <x v="2"/>
    </i>
    <i t="grand">
      <x/>
    </i>
  </rowItems>
  <colItems count="1">
    <i/>
  </colItems>
  <dataFields count="1">
    <dataField name="Sum of Wickets" fld="4" baseField="0" baseItem="0"/>
  </dataFields>
  <chartFormats count="1">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1179B7-C951-49A3-93E4-082763F42E23}"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3:L17" firstHeaderRow="1" firstDataRow="1" firstDataCol="1"/>
  <pivotFields count="14">
    <pivotField showAll="0">
      <items count="13">
        <item x="8"/>
        <item x="9"/>
        <item x="0"/>
        <item x="1"/>
        <item x="2"/>
        <item x="3"/>
        <item x="4"/>
        <item x="10"/>
        <item x="5"/>
        <item x="6"/>
        <item x="7"/>
        <item x="1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3"/>
  </rowFields>
  <rowItems count="4">
    <i>
      <x/>
    </i>
    <i>
      <x v="1"/>
    </i>
    <i>
      <x v="2"/>
    </i>
    <i t="grand">
      <x/>
    </i>
  </rowItems>
  <colItems count="1">
    <i/>
  </colItems>
  <dataFields count="1">
    <dataField name="Sum of Innings" fld="1"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67CDAE-145B-4397-9B5B-C540EDD0441F}"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M7" firstHeaderRow="0" firstDataRow="1" firstDataCol="1"/>
  <pivotFields count="14">
    <pivotField showAll="0">
      <items count="13">
        <item x="8"/>
        <item x="9"/>
        <item x="0"/>
        <item x="1"/>
        <item x="2"/>
        <item x="3"/>
        <item x="4"/>
        <item x="10"/>
        <item x="5"/>
        <item x="6"/>
        <item x="7"/>
        <item x="11"/>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axis="axisRow" showAll="0">
      <items count="4">
        <item x="1"/>
        <item x="2"/>
        <item x="0"/>
        <item t="default"/>
      </items>
    </pivotField>
  </pivotFields>
  <rowFields count="1">
    <field x="13"/>
  </rowFields>
  <rowItems count="4">
    <i>
      <x/>
    </i>
    <i>
      <x v="1"/>
    </i>
    <i>
      <x v="2"/>
    </i>
    <i t="grand">
      <x/>
    </i>
  </rowItems>
  <colFields count="1">
    <field x="-2"/>
  </colFields>
  <colItems count="2">
    <i>
      <x/>
    </i>
    <i i="1">
      <x v="1"/>
    </i>
  </colItems>
  <dataFields count="2">
    <dataField name="Sum of 4s" fld="10" baseField="0" baseItem="0"/>
    <dataField name="Sum of 6s" fld="11" baseField="0" baseItem="0"/>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D01DDE-BBFA-490F-85E8-DCBFFB1D8E20}"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15" firstHeaderRow="1" firstDataRow="1" firstDataCol="1"/>
  <pivotFields count="14">
    <pivotField showAll="0">
      <items count="13">
        <item x="8"/>
        <item x="9"/>
        <item x="0"/>
        <item x="1"/>
        <item x="2"/>
        <item x="3"/>
        <item x="4"/>
        <item x="10"/>
        <item x="5"/>
        <item x="6"/>
        <item x="7"/>
        <item x="1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x="1"/>
        <item x="2"/>
        <item x="0"/>
        <item t="default"/>
      </items>
    </pivotField>
  </pivotFields>
  <rowFields count="1">
    <field x="13"/>
  </rowFields>
  <rowItems count="4">
    <i>
      <x/>
    </i>
    <i>
      <x v="1"/>
    </i>
    <i>
      <x v="2"/>
    </i>
    <i t="grand">
      <x/>
    </i>
  </rowItems>
  <colItems count="1">
    <i/>
  </colItems>
  <dataFields count="1">
    <dataField name="Sum of Dot%" fld="12" showDataAs="percentOfTotal" baseField="13" baseItem="0" numFmtId="1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3" count="1" selected="0">
            <x v="0"/>
          </reference>
        </references>
      </pivotArea>
    </chartFormat>
    <chartFormat chart="2" format="3">
      <pivotArea type="data" outline="0" fieldPosition="0">
        <references count="2">
          <reference field="4294967294" count="1" selected="0">
            <x v="0"/>
          </reference>
          <reference field="13" count="1" selected="0">
            <x v="1"/>
          </reference>
        </references>
      </pivotArea>
    </chartFormat>
    <chartFormat chart="2" format="4">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6" xr16:uid="{1343A8F7-2F7E-46A4-96AE-1B1A2BBC6492}" autoFormatId="16" applyNumberFormats="0" applyBorderFormats="0" applyFontFormats="0" applyPatternFormats="0" applyAlignmentFormats="0" applyWidthHeightFormats="0">
  <queryTableRefresh nextId="15">
    <queryTableFields count="14">
      <queryTableField id="1" name="Year" tableColumnId="1"/>
      <queryTableField id="2" name="Innings" tableColumnId="2"/>
      <queryTableField id="3" name="Overs" tableColumnId="3"/>
      <queryTableField id="4" name="Runs" tableColumnId="4"/>
      <queryTableField id="5" name="Wickets" tableColumnId="5"/>
      <queryTableField id="6" name="Econ" tableColumnId="6"/>
      <queryTableField id="7" name="Avg" tableColumnId="7"/>
      <queryTableField id="8" name="SR" tableColumnId="8"/>
      <queryTableField id="9" name="5W" tableColumnId="9"/>
      <queryTableField id="10" name="BBI" tableColumnId="10"/>
      <queryTableField id="11" name="4s" tableColumnId="11"/>
      <queryTableField id="12" name="6s" tableColumnId="12"/>
      <queryTableField id="13" name="Dot%" tableColumnId="13"/>
      <queryTableField id="14" name="Formate"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5" xr16:uid="{3538CF85-6636-487B-B2C1-EA709302B431}" autoFormatId="16" applyNumberFormats="0" applyBorderFormats="0" applyFontFormats="0" applyPatternFormats="0" applyAlignmentFormats="0" applyWidthHeightFormats="0">
  <queryTableRefresh nextId="15" unboundColumnsRight="1">
    <queryTableFields count="14">
      <queryTableField id="1" name="Year" tableColumnId="1"/>
      <queryTableField id="2" name="Innings" tableColumnId="2"/>
      <queryTableField id="3" name="Overs" tableColumnId="3"/>
      <queryTableField id="4" name="Runs" tableColumnId="4"/>
      <queryTableField id="5" name="Wickets" tableColumnId="5"/>
      <queryTableField id="6" name="Econ" tableColumnId="6"/>
      <queryTableField id="7" name="Avg" tableColumnId="7"/>
      <queryTableField id="8" name="SR" tableColumnId="8"/>
      <queryTableField id="9" name="5W" tableColumnId="9"/>
      <queryTableField id="10" name="BBI" tableColumnId="10"/>
      <queryTableField id="11" name="4s" tableColumnId="11"/>
      <queryTableField id="12" name="6s" tableColumnId="12"/>
      <queryTableField id="13" name="Dot%" tableColumnId="13"/>
      <queryTableField id="14" dataBound="0"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2" xr16:uid="{A486D407-FF68-4C6C-8441-6F4815D1B3A4}" autoFormatId="16" applyNumberFormats="0" applyBorderFormats="0" applyFontFormats="0" applyPatternFormats="0" applyAlignmentFormats="0" applyWidthHeightFormats="0">
  <queryTableRefresh nextId="15">
    <queryTableFields count="14">
      <queryTableField id="1" name="Year" tableColumnId="1"/>
      <queryTableField id="2" name="Innings" tableColumnId="2"/>
      <queryTableField id="3" name="Overs" tableColumnId="3"/>
      <queryTableField id="4" name="Runs" tableColumnId="4"/>
      <queryTableField id="5" name="Wickets" tableColumnId="5"/>
      <queryTableField id="6" name="Econ" tableColumnId="6"/>
      <queryTableField id="7" name="Avg" tableColumnId="7"/>
      <queryTableField id="8" name="SR" tableColumnId="8"/>
      <queryTableField id="9" name="5W" tableColumnId="9"/>
      <queryTableField id="10" name="BBI" tableColumnId="10"/>
      <queryTableField id="11" name="4s" tableColumnId="11"/>
      <queryTableField id="12" name="6s" tableColumnId="12"/>
      <queryTableField id="13" name="Dot%" tableColumnId="13"/>
      <queryTableField id="14" name="Formate"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D956F8AA-1062-4DDE-8118-6F5318410CFC}" autoFormatId="16" applyNumberFormats="0" applyBorderFormats="0" applyFontFormats="0" applyPatternFormats="0" applyAlignmentFormats="0" applyWidthHeightFormats="0">
  <queryTableRefresh nextId="15">
    <queryTableFields count="14">
      <queryTableField id="1" name="Year" tableColumnId="1"/>
      <queryTableField id="2" name="Innings" tableColumnId="2"/>
      <queryTableField id="3" name="Overs" tableColumnId="3"/>
      <queryTableField id="4" name="Runs" tableColumnId="4"/>
      <queryTableField id="5" name="Wickets" tableColumnId="5"/>
      <queryTableField id="6" name="Econ" tableColumnId="6"/>
      <queryTableField id="7" name="Avg" tableColumnId="7"/>
      <queryTableField id="8" name="SR" tableColumnId="8"/>
      <queryTableField id="9" name="5W" tableColumnId="9"/>
      <queryTableField id="10" name="BBI" tableColumnId="10"/>
      <queryTableField id="11" name="4s" tableColumnId="11"/>
      <queryTableField id="12" name="6s" tableColumnId="12"/>
      <queryTableField id="13" name="Dot%" tableColumnId="13"/>
      <queryTableField id="14" name="Formate"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3" xr16:uid="{5FDEF2AC-F8DD-4ACD-A842-E7F52F483171}" autoFormatId="16" applyNumberFormats="0" applyBorderFormats="0" applyFontFormats="0" applyPatternFormats="0" applyAlignmentFormats="0" applyWidthHeightFormats="0">
  <queryTableRefresh nextId="15" unboundColumnsRight="1">
    <queryTableFields count="14">
      <queryTableField id="1" name="Year" tableColumnId="1"/>
      <queryTableField id="2" name="Innings" tableColumnId="2"/>
      <queryTableField id="3" name="Overs" tableColumnId="3"/>
      <queryTableField id="4" name="Runs" tableColumnId="4"/>
      <queryTableField id="5" name="Wickets" tableColumnId="5"/>
      <queryTableField id="6" name="Econ" tableColumnId="6"/>
      <queryTableField id="7" name="Avg" tableColumnId="7"/>
      <queryTableField id="8" name="SR" tableColumnId="8"/>
      <queryTableField id="9" name="5W" tableColumnId="9"/>
      <queryTableField id="10" name="BBI" tableColumnId="10"/>
      <queryTableField id="11" name="4s" tableColumnId="11"/>
      <queryTableField id="12" name="6s" tableColumnId="12"/>
      <queryTableField id="13" name="Dot%" tableColumnId="13"/>
      <queryTableField id="14" dataBound="0" tableColumnId="1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8" xr16:uid="{06CA739C-7EDD-4B2C-A21E-9082D74CC1A2}" autoFormatId="16" applyNumberFormats="0" applyBorderFormats="0" applyFontFormats="0" applyPatternFormats="0" applyAlignmentFormats="0" applyWidthHeightFormats="0">
  <queryTableRefresh nextId="15">
    <queryTableFields count="14">
      <queryTableField id="1" name="Year" tableColumnId="1"/>
      <queryTableField id="2" name="Innings" tableColumnId="2"/>
      <queryTableField id="3" name="Overs" tableColumnId="3"/>
      <queryTableField id="4" name="Runs" tableColumnId="4"/>
      <queryTableField id="5" name="Wickets" tableColumnId="5"/>
      <queryTableField id="6" name="Econ" tableColumnId="6"/>
      <queryTableField id="7" name="Avg" tableColumnId="7"/>
      <queryTableField id="8" name="SR" tableColumnId="8"/>
      <queryTableField id="9" name="5W" tableColumnId="9"/>
      <queryTableField id="10" name="BBI" tableColumnId="10"/>
      <queryTableField id="11" name="4s" tableColumnId="11"/>
      <queryTableField id="12" name="6s" tableColumnId="12"/>
      <queryTableField id="13" name="Dot%" tableColumnId="13"/>
      <queryTableField id="14" name="Formate" tableColumnId="1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88D798E9-456E-44E7-9253-2F546CCF0774}" autoFormatId="16" applyNumberFormats="0" applyBorderFormats="0" applyFontFormats="0" applyPatternFormats="0" applyAlignmentFormats="0" applyWidthHeightFormats="0">
  <queryTableRefresh nextId="15" unboundColumnsRight="1">
    <queryTableFields count="14">
      <queryTableField id="1" name="Year" tableColumnId="1"/>
      <queryTableField id="2" name="Innings" tableColumnId="2"/>
      <queryTableField id="3" name="Overs" tableColumnId="3"/>
      <queryTableField id="4" name="Runs" tableColumnId="4"/>
      <queryTableField id="5" name="Wickets" tableColumnId="5"/>
      <queryTableField id="6" name="Econ" tableColumnId="6"/>
      <queryTableField id="7" name="Avg" tableColumnId="7"/>
      <queryTableField id="8" name="SR" tableColumnId="8"/>
      <queryTableField id="9" name="5W" tableColumnId="9"/>
      <queryTableField id="10" name="BBI" tableColumnId="10"/>
      <queryTableField id="11" name="4s" tableColumnId="11"/>
      <queryTableField id="12" name="6s" tableColumnId="12"/>
      <queryTableField id="13" name="Dot%"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DB63131-1CC2-464B-A83A-CFE5B44FA89E}" sourceName="Year">
  <pivotTables>
    <pivotTable tabId="11" name="PivotTable6"/>
    <pivotTable tabId="11" name="PivotTable7"/>
    <pivotTable tabId="11" name="PivotTable8"/>
    <pivotTable tabId="11" name="PivotTable4"/>
    <pivotTable tabId="11" name="PivotTable9"/>
    <pivotTable tabId="11" name="PivotTable10"/>
    <pivotTable tabId="11" name="PivotTable11"/>
  </pivotTables>
  <data>
    <tabular pivotCacheId="21685085">
      <items count="12">
        <i x="8" s="1"/>
        <i x="9" s="1"/>
        <i x="0" s="1"/>
        <i x="1" s="1"/>
        <i x="2" s="1"/>
        <i x="3" s="1"/>
        <i x="4" s="1"/>
        <i x="10" s="1"/>
        <i x="5" s="1"/>
        <i x="6" s="1"/>
        <i x="7"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BBDA2F7-A220-4F9F-B529-52503951C327}"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895019F-CBD2-44F9-988E-7FFD16BCD590}" name="T20I_balling__2" displayName="T20I_balling__2" ref="A1:N6" tableType="queryTable" totalsRowShown="0">
  <autoFilter ref="A1:N6" xr:uid="{0895019F-CBD2-44F9-988E-7FFD16BCD590}"/>
  <tableColumns count="14">
    <tableColumn id="1" xr3:uid="{F0580ECB-2AA8-4909-B2B6-0D5D6C8088AC}" uniqueName="1" name="Year" queryTableFieldId="1"/>
    <tableColumn id="2" xr3:uid="{A9223AD0-5973-4103-8D30-F035C788A62B}" uniqueName="2" name="Innings" queryTableFieldId="2"/>
    <tableColumn id="3" xr3:uid="{130870EF-D2F4-4060-AF77-E12E3E696506}" uniqueName="3" name="Overs" queryTableFieldId="3"/>
    <tableColumn id="4" xr3:uid="{EB1506A0-E297-48D1-B57C-06066F5F0AE5}" uniqueName="4" name="Runs" queryTableFieldId="4"/>
    <tableColumn id="5" xr3:uid="{5C04E97A-E51F-4EC1-8FA1-55EFD208CAF9}" uniqueName="5" name="Wickets" queryTableFieldId="5"/>
    <tableColumn id="6" xr3:uid="{0E59988E-ED4C-48B2-9A8C-53868DC129E6}" uniqueName="6" name="Econ" queryTableFieldId="6"/>
    <tableColumn id="7" xr3:uid="{0C58FABA-D92D-4274-9246-58D1D71D364A}" uniqueName="7" name="Avg" queryTableFieldId="7" dataDxfId="39"/>
    <tableColumn id="8" xr3:uid="{09DEFF3E-F964-4E3D-AE58-5D2394B15BC3}" uniqueName="8" name="SR" queryTableFieldId="8" dataDxfId="38"/>
    <tableColumn id="9" xr3:uid="{C3B11929-96D9-45B7-86CD-6D5B7905A700}" uniqueName="9" name="5W" queryTableFieldId="9"/>
    <tableColumn id="10" xr3:uid="{11D2904C-9B7E-4CA7-831B-91F311507739}" uniqueName="10" name="BBI" queryTableFieldId="10" dataDxfId="37"/>
    <tableColumn id="11" xr3:uid="{889CFC55-4E43-480B-AE61-A9A4D448A0B2}" uniqueName="11" name="4s" queryTableFieldId="11"/>
    <tableColumn id="12" xr3:uid="{E9685B4F-AA55-4D8F-B833-995FFEDE5EBA}" uniqueName="12" name="6s" queryTableFieldId="12"/>
    <tableColumn id="13" xr3:uid="{DEC95EA1-877C-4AF1-9D89-31AD73EB62D3}" uniqueName="13" name="Dot%" queryTableFieldId="13"/>
    <tableColumn id="14" xr3:uid="{CD8CA11B-A663-4D2B-AD1B-A74DB9C4B1C1}" uniqueName="14" name="Formate" queryTableFieldId="14"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97B626-CF46-4250-97D6-A3EE42D0228D}" name="T20I_balling" displayName="T20I_balling" ref="A1:N6" tableType="queryTable" totalsRowShown="0">
  <autoFilter ref="A1:N6" xr:uid="{F097B626-CF46-4250-97D6-A3EE42D0228D}"/>
  <tableColumns count="14">
    <tableColumn id="1" xr3:uid="{05E02A47-E11C-4A0F-8280-7E193187B424}" uniqueName="1" name="Year" queryTableFieldId="1"/>
    <tableColumn id="2" xr3:uid="{ADC7866C-5D0C-4D67-B34E-6601DEBED248}" uniqueName="2" name="Innings" queryTableFieldId="2"/>
    <tableColumn id="3" xr3:uid="{4DE8C94B-3DD6-494A-BDED-E07A33D931AB}" uniqueName="3" name="Overs" queryTableFieldId="3"/>
    <tableColumn id="4" xr3:uid="{B1DD9B9D-2130-4D45-93E2-E910218D238D}" uniqueName="4" name="Runs" queryTableFieldId="4"/>
    <tableColumn id="5" xr3:uid="{6A015C75-5490-4649-B5E1-44ABEC928013}" uniqueName="5" name="Wickets" queryTableFieldId="5"/>
    <tableColumn id="6" xr3:uid="{8904CC61-AA63-4486-B104-B7E6AB12C18D}" uniqueName="6" name="Econ" queryTableFieldId="6"/>
    <tableColumn id="7" xr3:uid="{4B9C9A99-58A8-4C84-AE85-C95AD1D53784}" uniqueName="7" name="Avg" queryTableFieldId="7" dataDxfId="35"/>
    <tableColumn id="8" xr3:uid="{96F2CFED-2E51-47D6-AFC2-FF7C468606DD}" uniqueName="8" name="SR" queryTableFieldId="8" dataDxfId="34"/>
    <tableColumn id="9" xr3:uid="{39378005-D9D3-44FC-9D4A-5ECD624DCE76}" uniqueName="9" name="5W" queryTableFieldId="9"/>
    <tableColumn id="10" xr3:uid="{ADB635DB-2BA8-4C0C-AA0B-BD213EB0B2DC}" uniqueName="10" name="BBI" queryTableFieldId="10" dataDxfId="33"/>
    <tableColumn id="11" xr3:uid="{D235F1DF-5CBD-4A4A-9AD5-1DC93A584EC4}" uniqueName="11" name="4s" queryTableFieldId="11"/>
    <tableColumn id="12" xr3:uid="{E7DBCBB1-2696-4A8D-BAF3-402FBA2972B0}" uniqueName="12" name="6s" queryTableFieldId="12"/>
    <tableColumn id="13" xr3:uid="{2369E801-9D27-4DB0-BE44-93AB38B92867}" uniqueName="13" name="Dot%" queryTableFieldId="13"/>
    <tableColumn id="14" xr3:uid="{789F02AC-154F-4A10-BD93-2C550B8EFDE3}" uniqueName="14" name="Formate"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905C46-94E7-4064-B0FE-F1CE42F0BD59}" name="Balling__2" displayName="Balling__2" ref="A1:N23" tableType="queryTable" totalsRowShown="0">
  <autoFilter ref="A1:N23" xr:uid="{D9905C46-94E7-4064-B0FE-F1CE42F0BD59}"/>
  <tableColumns count="14">
    <tableColumn id="1" xr3:uid="{92914A80-EAA0-4AE4-8F96-EDAF38288C31}" uniqueName="1" name="Year" queryTableFieldId="1"/>
    <tableColumn id="2" xr3:uid="{C9863F6F-AEB6-4FD7-AE70-54EE6536CC73}" uniqueName="2" name="Innings" queryTableFieldId="2"/>
    <tableColumn id="3" xr3:uid="{20B5C95B-99AF-45CE-BCDC-A39D8FD8AA0C}" uniqueName="3" name="Overs" queryTableFieldId="3"/>
    <tableColumn id="4" xr3:uid="{DB47E085-D560-4BFF-8F4E-E10C6965F909}" uniqueName="4" name="Runs" queryTableFieldId="4"/>
    <tableColumn id="5" xr3:uid="{70342020-F427-41CF-8690-71799FD3D7C4}" uniqueName="5" name="Wickets" queryTableFieldId="5"/>
    <tableColumn id="6" xr3:uid="{0FA29BBD-D058-47D7-9B59-CBDA608B2292}" uniqueName="6" name="Econ" queryTableFieldId="6"/>
    <tableColumn id="7" xr3:uid="{49296F2A-C717-4389-B679-615B180DCDA2}" uniqueName="7" name="Avg" queryTableFieldId="7" dataDxfId="32"/>
    <tableColumn id="8" xr3:uid="{DA90495B-C999-4A34-9F6F-626D0123981C}" uniqueName="8" name="SR" queryTableFieldId="8"/>
    <tableColumn id="9" xr3:uid="{7449BCFF-CA80-49B6-9E23-8BC3DC4890BA}" uniqueName="9" name="5W" queryTableFieldId="9"/>
    <tableColumn id="10" xr3:uid="{3CD9F55A-AEF5-4B72-9FEE-101995096380}" uniqueName="10" name="BBI" queryTableFieldId="10"/>
    <tableColumn id="11" xr3:uid="{960312D4-E17A-4190-B915-431F766F79E7}" uniqueName="11" name="4s" queryTableFieldId="11"/>
    <tableColumn id="12" xr3:uid="{7C951D6F-866E-406B-901E-B3CB979306BE}" uniqueName="12" name="6s" queryTableFieldId="12"/>
    <tableColumn id="13" xr3:uid="{2032546D-A90D-4F1F-9B0F-AE49D14513AC}" uniqueName="13" name="Dot%" queryTableFieldId="13"/>
    <tableColumn id="14" xr3:uid="{845DB35C-6124-424A-ABC7-BA725C98488B}" uniqueName="14" name="Formate" queryTableField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2A0A5FE-438C-4ECC-873F-73F1B6A70B28}" name="ODI_balling__2" displayName="ODI_balling__2" ref="A1:N10" tableType="queryTable" totalsRowShown="0">
  <autoFilter ref="A1:N10" xr:uid="{C2A0A5FE-438C-4ECC-873F-73F1B6A70B28}"/>
  <tableColumns count="14">
    <tableColumn id="1" xr3:uid="{6C091A97-A943-446B-9683-028E0BA84EA5}" uniqueName="1" name="Year" queryTableFieldId="1"/>
    <tableColumn id="2" xr3:uid="{986A387D-F8B1-4518-A885-543450D5559D}" uniqueName="2" name="Innings" queryTableFieldId="2"/>
    <tableColumn id="3" xr3:uid="{C3403504-5EE6-4B9B-A7D6-73A09D1B99D4}" uniqueName="3" name="Overs" queryTableFieldId="3"/>
    <tableColumn id="4" xr3:uid="{9BD34FF2-B099-482D-92A2-F9787FEF3DBA}" uniqueName="4" name="Runs" queryTableFieldId="4"/>
    <tableColumn id="5" xr3:uid="{08EC8F7F-0DB5-4F06-8A02-034720D59C02}" uniqueName="5" name="Wickets" queryTableFieldId="5"/>
    <tableColumn id="6" xr3:uid="{C2D1680A-B96E-42CB-BA8E-83BE12A1908B}" uniqueName="6" name="Econ" queryTableFieldId="6"/>
    <tableColumn id="7" xr3:uid="{14319DA9-2003-4F93-8B11-037CC49E881C}" uniqueName="7" name="Avg" queryTableFieldId="7" dataDxfId="31"/>
    <tableColumn id="8" xr3:uid="{07FC1DEB-FAD2-46A4-81A2-BF7D2DE1AB08}" uniqueName="8" name="SR" queryTableFieldId="8" dataDxfId="30"/>
    <tableColumn id="9" xr3:uid="{F9103302-DB0C-4FCA-B57C-D811FEE92980}" uniqueName="9" name="5W" queryTableFieldId="9"/>
    <tableColumn id="10" xr3:uid="{BD546757-C4AA-43F1-8B2B-A15FB17217B4}" uniqueName="10" name="BBI" queryTableFieldId="10" dataDxfId="29"/>
    <tableColumn id="11" xr3:uid="{53909B97-FC3F-4689-936B-209D9AAA18BD}" uniqueName="11" name="4s" queryTableFieldId="11"/>
    <tableColumn id="12" xr3:uid="{762D97E4-42D0-44EA-8488-0615DA409991}" uniqueName="12" name="6s" queryTableFieldId="12"/>
    <tableColumn id="13" xr3:uid="{F7C97B31-1271-414D-9355-55438C10A34F}" uniqueName="13" name="Dot%" queryTableFieldId="13"/>
    <tableColumn id="14" xr3:uid="{CDD394FC-959E-4110-A7BD-1CF328958079}" uniqueName="14" name="Formate" queryTableFieldId="14" dataDxfId="2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294369-AEDC-4682-B396-99CD5725F0AA}" name="ODI_balling" displayName="ODI_balling" ref="A1:N10" tableType="queryTable" totalsRowShown="0">
  <autoFilter ref="A1:N10" xr:uid="{94294369-AEDC-4682-B396-99CD5725F0AA}"/>
  <tableColumns count="14">
    <tableColumn id="1" xr3:uid="{64897409-1C40-4EFD-ABE9-5D6EFB2C598E}" uniqueName="1" name="Year" queryTableFieldId="1"/>
    <tableColumn id="2" xr3:uid="{7D655F3A-CD6E-40C5-8A0E-D1115A66C099}" uniqueName="2" name="Innings" queryTableFieldId="2"/>
    <tableColumn id="3" xr3:uid="{9695021D-FF6F-4ECB-A7CD-9D60AD15BA40}" uniqueName="3" name="Overs" queryTableFieldId="3"/>
    <tableColumn id="4" xr3:uid="{7A7361CE-E59B-49D4-B7A6-BF8BBEF22E6B}" uniqueName="4" name="Runs" queryTableFieldId="4"/>
    <tableColumn id="5" xr3:uid="{41F02199-4EB8-49D4-8EF7-D2D3EA2BBCD2}" uniqueName="5" name="Wickets" queryTableFieldId="5"/>
    <tableColumn id="6" xr3:uid="{F8B36D6E-ACA6-43D3-9D15-B9BC97E9DE31}" uniqueName="6" name="Econ" queryTableFieldId="6"/>
    <tableColumn id="7" xr3:uid="{0EC52082-D2F9-412A-9947-DDE14FB1DD62}" uniqueName="7" name="Avg" queryTableFieldId="7" dataDxfId="27"/>
    <tableColumn id="8" xr3:uid="{173FF7A6-0F1C-41A0-AF30-CD63369FDC9F}" uniqueName="8" name="SR" queryTableFieldId="8" dataDxfId="26"/>
    <tableColumn id="9" xr3:uid="{44A4264F-1F0F-440A-B683-7D461A9ADA36}" uniqueName="9" name="5W" queryTableFieldId="9"/>
    <tableColumn id="10" xr3:uid="{EF2E9D16-2556-4031-9605-90FF2D1CC9AC}" uniqueName="10" name="BBI" queryTableFieldId="10" dataDxfId="25"/>
    <tableColumn id="11" xr3:uid="{F8256759-84EF-4492-8BAB-2302914521ED}" uniqueName="11" name="4s" queryTableFieldId="11"/>
    <tableColumn id="12" xr3:uid="{B5D14822-B434-4B45-A048-ADA377ADE35F}" uniqueName="12" name="6s" queryTableFieldId="12"/>
    <tableColumn id="13" xr3:uid="{E6AC3851-47DE-4849-9DA0-B9AAB8951788}" uniqueName="13" name="Dot%" queryTableFieldId="13"/>
    <tableColumn id="14" xr3:uid="{04932955-7A1C-4F79-BF74-3E0A1F6429AE}" uniqueName="14" name="Formate" queryTableFieldId="1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DD2AF2-3CF9-4B6F-B51E-D158569AFC8F}" name="Test_balling__2" displayName="Test_balling__2" ref="A1:N9" tableType="queryTable" totalsRowShown="0">
  <autoFilter ref="A1:N9" xr:uid="{53DD2AF2-3CF9-4B6F-B51E-D158569AFC8F}"/>
  <tableColumns count="14">
    <tableColumn id="1" xr3:uid="{55A96272-E52F-45AB-B0C8-229C11AA6E7C}" uniqueName="1" name="Year" queryTableFieldId="1"/>
    <tableColumn id="2" xr3:uid="{7D62D3C0-ADB1-4D97-86D6-696F2D51EE10}" uniqueName="2" name="Innings" queryTableFieldId="2"/>
    <tableColumn id="3" xr3:uid="{24251D11-397E-486C-B0C4-A59CA36ED85A}" uniqueName="3" name="Overs" queryTableFieldId="3"/>
    <tableColumn id="4" xr3:uid="{B9F87B3E-31BA-4D7F-B19B-F90B3EA4C168}" uniqueName="4" name="Runs" queryTableFieldId="4"/>
    <tableColumn id="5" xr3:uid="{E733E72B-A473-438F-B9E7-FA9BF3586486}" uniqueName="5" name="Wickets" queryTableFieldId="5"/>
    <tableColumn id="6" xr3:uid="{8634547F-D55E-4E89-8966-83C6F3D182C1}" uniqueName="6" name="Econ" queryTableFieldId="6"/>
    <tableColumn id="7" xr3:uid="{3F04A78E-9FF6-4422-ADAC-4976A05AC22B}" uniqueName="7" name="Avg" queryTableFieldId="7" dataDxfId="24"/>
    <tableColumn id="8" xr3:uid="{32AD3C96-2DE8-4616-8926-5D615CA9BC73}" uniqueName="8" name="SR" queryTableFieldId="8" dataDxfId="23"/>
    <tableColumn id="9" xr3:uid="{558C29C8-A0B4-4A7E-BD72-1F42905A5E4A}" uniqueName="9" name="5W" queryTableFieldId="9"/>
    <tableColumn id="10" xr3:uid="{457C5B60-B157-430A-8950-CAEA706AB0CB}" uniqueName="10" name="BBI" queryTableFieldId="10" dataDxfId="22"/>
    <tableColumn id="11" xr3:uid="{AAC5A525-D3CD-4341-9147-91B274A084BE}" uniqueName="11" name="4s" queryTableFieldId="11"/>
    <tableColumn id="12" xr3:uid="{3D19C87C-40F3-466F-9B90-4914CD06E0A6}" uniqueName="12" name="6s" queryTableFieldId="12"/>
    <tableColumn id="13" xr3:uid="{6F4F128C-497D-4F2D-A80B-BDDC0DDD6968}" uniqueName="13" name="Dot%" queryTableFieldId="13"/>
    <tableColumn id="14" xr3:uid="{9CF6A600-3B75-47A5-BA42-58EDD172C074}" uniqueName="14" name="Formate" queryTableFieldId="14" dataDxfId="2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18C2F2-4C13-434F-A1D7-47D28D2B5D7C}" name="Test_balling" displayName="Test_balling" ref="A1:N9" tableType="queryTable" totalsRowShown="0">
  <autoFilter ref="A1:N9" xr:uid="{CB18C2F2-4C13-434F-A1D7-47D28D2B5D7C}"/>
  <tableColumns count="14">
    <tableColumn id="1" xr3:uid="{FB2974DE-AE81-437C-84DE-6B104C5586A4}" uniqueName="1" name="Year" queryTableFieldId="1"/>
    <tableColumn id="2" xr3:uid="{228C5B71-369A-4A41-84B1-F63E864BBDB5}" uniqueName="2" name="Innings" queryTableFieldId="2"/>
    <tableColumn id="3" xr3:uid="{1CF0B354-4C9C-4962-A9DA-3C5329CE2AFA}" uniqueName="3" name="Overs" queryTableFieldId="3"/>
    <tableColumn id="4" xr3:uid="{501AD13C-9795-4AFD-AC0B-01711FDC25DA}" uniqueName="4" name="Runs" queryTableFieldId="4"/>
    <tableColumn id="5" xr3:uid="{15B080E9-071B-4647-B28D-9B8797622317}" uniqueName="5" name="Wickets" queryTableFieldId="5"/>
    <tableColumn id="6" xr3:uid="{347FA56E-E80A-4F2E-9CAE-EDAD6749FE0E}" uniqueName="6" name="Econ" queryTableFieldId="6"/>
    <tableColumn id="7" xr3:uid="{DDF28304-3E4B-4280-AB1D-B9C0971700EB}" uniqueName="7" name="Avg" queryTableFieldId="7" dataDxfId="20"/>
    <tableColumn id="8" xr3:uid="{BF63B77C-2A87-471A-8AA2-F14A5AFDE1BB}" uniqueName="8" name="SR" queryTableFieldId="8" dataDxfId="19"/>
    <tableColumn id="9" xr3:uid="{BC0C28B2-12E2-4A24-A3D1-5DE5AA59C614}" uniqueName="9" name="5W" queryTableFieldId="9"/>
    <tableColumn id="10" xr3:uid="{89473535-4999-4DB0-8B92-8CEDC93D39C7}" uniqueName="10" name="BBI" queryTableFieldId="10" dataDxfId="18"/>
    <tableColumn id="11" xr3:uid="{9A7A0F55-295C-49D8-B4BB-FF5BBC017C0B}" uniqueName="11" name="4s" queryTableFieldId="11"/>
    <tableColumn id="12" xr3:uid="{0E9A40CC-08E2-44EB-B209-2EA49441EF7A}" uniqueName="12" name="6s" queryTableFieldId="12"/>
    <tableColumn id="13" xr3:uid="{2D133B7C-770B-4B2A-8FA6-4FE6D07863CB}" uniqueName="13" name="Dot%" queryTableFieldId="13"/>
    <tableColumn id="14" xr3:uid="{F5FF7873-EC8A-4CBF-B7CF-3D50577E77BB}" uniqueName="14" name="Formate"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C7265-F8E3-4BEC-9FBF-5AAEBF479486}">
  <dimension ref="A1:N6"/>
  <sheetViews>
    <sheetView workbookViewId="0">
      <selection sqref="A1:N6"/>
    </sheetView>
  </sheetViews>
  <sheetFormatPr defaultRowHeight="14.5" x14ac:dyDescent="0.35"/>
  <cols>
    <col min="1" max="1" width="6.81640625" bestFit="1" customWidth="1"/>
    <col min="2" max="2" width="9.08984375" bestFit="1" customWidth="1"/>
    <col min="3" max="3" width="7.90625" bestFit="1" customWidth="1"/>
    <col min="4" max="4" width="7.1796875" bestFit="1" customWidth="1"/>
    <col min="5" max="5" width="9.7265625" bestFit="1" customWidth="1"/>
    <col min="6" max="6" width="7.08984375" bestFit="1" customWidth="1"/>
    <col min="7" max="7" width="6.08984375" bestFit="1" customWidth="1"/>
    <col min="8" max="8" width="5.08984375" bestFit="1" customWidth="1"/>
    <col min="9" max="9" width="5.90625" bestFit="1" customWidth="1"/>
    <col min="10" max="10" width="5.81640625" bestFit="1" customWidth="1"/>
    <col min="11" max="12" width="4.90625" bestFit="1" customWidth="1"/>
    <col min="13" max="13" width="7.6328125" bestFit="1" customWidth="1"/>
    <col min="14" max="14" width="10.17968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42</v>
      </c>
    </row>
    <row r="2" spans="1:14" x14ac:dyDescent="0.35">
      <c r="A2">
        <v>2011</v>
      </c>
      <c r="B2">
        <v>2</v>
      </c>
      <c r="C2">
        <v>5.4</v>
      </c>
      <c r="D2">
        <v>35</v>
      </c>
      <c r="E2">
        <v>2</v>
      </c>
      <c r="F2">
        <v>6.18</v>
      </c>
      <c r="G2" t="s">
        <v>32</v>
      </c>
      <c r="H2" t="s">
        <v>33</v>
      </c>
      <c r="I2">
        <v>0</v>
      </c>
      <c r="J2" t="s">
        <v>34</v>
      </c>
      <c r="K2">
        <v>3</v>
      </c>
      <c r="L2">
        <v>0</v>
      </c>
      <c r="M2">
        <v>44.1</v>
      </c>
      <c r="N2" t="s">
        <v>45</v>
      </c>
    </row>
    <row r="3" spans="1:14" x14ac:dyDescent="0.35">
      <c r="A3">
        <v>2012</v>
      </c>
      <c r="B3">
        <v>8</v>
      </c>
      <c r="C3">
        <v>15</v>
      </c>
      <c r="D3">
        <v>124</v>
      </c>
      <c r="E3">
        <v>1</v>
      </c>
      <c r="F3">
        <v>8.27</v>
      </c>
      <c r="G3" t="s">
        <v>35</v>
      </c>
      <c r="H3" t="s">
        <v>36</v>
      </c>
      <c r="I3">
        <v>0</v>
      </c>
      <c r="J3" t="s">
        <v>37</v>
      </c>
      <c r="K3">
        <v>12</v>
      </c>
      <c r="L3">
        <v>2</v>
      </c>
      <c r="M3">
        <v>25.6</v>
      </c>
      <c r="N3" t="s">
        <v>45</v>
      </c>
    </row>
    <row r="4" spans="1:14" x14ac:dyDescent="0.35">
      <c r="A4">
        <v>2013</v>
      </c>
      <c r="B4">
        <v>1</v>
      </c>
      <c r="C4">
        <v>2</v>
      </c>
      <c r="D4">
        <v>24</v>
      </c>
      <c r="E4">
        <v>0</v>
      </c>
      <c r="F4">
        <v>12</v>
      </c>
      <c r="G4" t="s">
        <v>13</v>
      </c>
      <c r="H4" t="s">
        <v>13</v>
      </c>
      <c r="I4">
        <v>0</v>
      </c>
      <c r="J4" t="s">
        <v>38</v>
      </c>
      <c r="K4">
        <v>2</v>
      </c>
      <c r="L4">
        <v>1</v>
      </c>
      <c r="M4">
        <v>25</v>
      </c>
      <c r="N4" t="s">
        <v>45</v>
      </c>
    </row>
    <row r="5" spans="1:14" x14ac:dyDescent="0.35">
      <c r="A5">
        <v>2016</v>
      </c>
      <c r="B5">
        <v>1</v>
      </c>
      <c r="C5">
        <v>1.4</v>
      </c>
      <c r="D5">
        <v>15</v>
      </c>
      <c r="E5">
        <v>1</v>
      </c>
      <c r="F5">
        <v>9</v>
      </c>
      <c r="G5" t="s">
        <v>39</v>
      </c>
      <c r="H5" t="s">
        <v>40</v>
      </c>
      <c r="I5">
        <v>0</v>
      </c>
      <c r="J5" t="s">
        <v>27</v>
      </c>
      <c r="K5">
        <v>1</v>
      </c>
      <c r="L5">
        <v>1</v>
      </c>
      <c r="M5">
        <v>40</v>
      </c>
      <c r="N5" t="s">
        <v>45</v>
      </c>
    </row>
    <row r="6" spans="1:14" x14ac:dyDescent="0.35">
      <c r="A6">
        <v>2022</v>
      </c>
      <c r="B6">
        <v>1</v>
      </c>
      <c r="C6">
        <v>1</v>
      </c>
      <c r="D6">
        <v>6</v>
      </c>
      <c r="E6">
        <v>0</v>
      </c>
      <c r="F6">
        <v>6</v>
      </c>
      <c r="G6" t="s">
        <v>13</v>
      </c>
      <c r="H6" t="s">
        <v>13</v>
      </c>
      <c r="I6">
        <v>0</v>
      </c>
      <c r="J6" t="s">
        <v>41</v>
      </c>
      <c r="K6">
        <v>0</v>
      </c>
      <c r="L6">
        <v>0</v>
      </c>
      <c r="M6">
        <v>16.7</v>
      </c>
      <c r="N6" t="s">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335A7-3026-43B3-86F6-1B082CFFFEA4}">
  <dimension ref="A1:N6"/>
  <sheetViews>
    <sheetView workbookViewId="0">
      <selection sqref="A1:N6"/>
    </sheetView>
  </sheetViews>
  <sheetFormatPr defaultRowHeight="14.5" x14ac:dyDescent="0.35"/>
  <cols>
    <col min="1" max="1" width="6.81640625" bestFit="1" customWidth="1"/>
    <col min="2" max="2" width="9.08984375" bestFit="1" customWidth="1"/>
    <col min="3" max="3" width="7.90625" bestFit="1" customWidth="1"/>
    <col min="4" max="4" width="7.1796875" bestFit="1" customWidth="1"/>
    <col min="5" max="5" width="9.7265625" bestFit="1" customWidth="1"/>
    <col min="6" max="6" width="7.08984375" bestFit="1" customWidth="1"/>
    <col min="7" max="7" width="6.08984375" bestFit="1" customWidth="1"/>
    <col min="8" max="8" width="5.08984375" bestFit="1" customWidth="1"/>
    <col min="9" max="9" width="5.90625" bestFit="1" customWidth="1"/>
    <col min="10" max="10" width="5.81640625" bestFit="1" customWidth="1"/>
    <col min="11" max="12" width="4.90625" bestFit="1" customWidth="1"/>
    <col min="13" max="13" width="7.63281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42</v>
      </c>
    </row>
    <row r="2" spans="1:14" x14ac:dyDescent="0.35">
      <c r="A2">
        <v>2011</v>
      </c>
      <c r="B2">
        <v>2</v>
      </c>
      <c r="C2">
        <v>5.4</v>
      </c>
      <c r="D2">
        <v>35</v>
      </c>
      <c r="E2">
        <v>2</v>
      </c>
      <c r="F2">
        <v>6.18</v>
      </c>
      <c r="G2" t="s">
        <v>32</v>
      </c>
      <c r="H2" t="s">
        <v>33</v>
      </c>
      <c r="I2">
        <v>0</v>
      </c>
      <c r="J2" t="s">
        <v>34</v>
      </c>
      <c r="K2">
        <v>3</v>
      </c>
      <c r="L2">
        <v>0</v>
      </c>
      <c r="M2">
        <v>44.1</v>
      </c>
      <c r="N2" t="s">
        <v>45</v>
      </c>
    </row>
    <row r="3" spans="1:14" x14ac:dyDescent="0.35">
      <c r="A3">
        <v>2012</v>
      </c>
      <c r="B3">
        <v>8</v>
      </c>
      <c r="C3">
        <v>15</v>
      </c>
      <c r="D3">
        <v>124</v>
      </c>
      <c r="E3">
        <v>1</v>
      </c>
      <c r="F3">
        <v>8.27</v>
      </c>
      <c r="G3" t="s">
        <v>35</v>
      </c>
      <c r="H3" t="s">
        <v>36</v>
      </c>
      <c r="I3">
        <v>0</v>
      </c>
      <c r="J3" t="s">
        <v>37</v>
      </c>
      <c r="K3">
        <v>12</v>
      </c>
      <c r="L3">
        <v>2</v>
      </c>
      <c r="M3">
        <v>25.6</v>
      </c>
      <c r="N3" t="s">
        <v>45</v>
      </c>
    </row>
    <row r="4" spans="1:14" x14ac:dyDescent="0.35">
      <c r="A4">
        <v>2013</v>
      </c>
      <c r="B4">
        <v>1</v>
      </c>
      <c r="C4">
        <v>2</v>
      </c>
      <c r="D4">
        <v>24</v>
      </c>
      <c r="E4">
        <v>0</v>
      </c>
      <c r="F4">
        <v>12</v>
      </c>
      <c r="G4" t="s">
        <v>13</v>
      </c>
      <c r="H4" t="s">
        <v>13</v>
      </c>
      <c r="I4">
        <v>0</v>
      </c>
      <c r="J4" t="s">
        <v>38</v>
      </c>
      <c r="K4">
        <v>2</v>
      </c>
      <c r="L4">
        <v>1</v>
      </c>
      <c r="M4">
        <v>25</v>
      </c>
      <c r="N4" t="s">
        <v>45</v>
      </c>
    </row>
    <row r="5" spans="1:14" x14ac:dyDescent="0.35">
      <c r="A5">
        <v>2016</v>
      </c>
      <c r="B5">
        <v>1</v>
      </c>
      <c r="C5">
        <v>1.4</v>
      </c>
      <c r="D5">
        <v>15</v>
      </c>
      <c r="E5">
        <v>1</v>
      </c>
      <c r="F5">
        <v>9</v>
      </c>
      <c r="G5" t="s">
        <v>39</v>
      </c>
      <c r="H5" t="s">
        <v>40</v>
      </c>
      <c r="I5">
        <v>0</v>
      </c>
      <c r="J5" t="s">
        <v>27</v>
      </c>
      <c r="K5">
        <v>1</v>
      </c>
      <c r="L5">
        <v>1</v>
      </c>
      <c r="M5">
        <v>40</v>
      </c>
      <c r="N5" t="s">
        <v>45</v>
      </c>
    </row>
    <row r="6" spans="1:14" x14ac:dyDescent="0.35">
      <c r="A6">
        <v>2022</v>
      </c>
      <c r="B6">
        <v>1</v>
      </c>
      <c r="C6">
        <v>1</v>
      </c>
      <c r="D6">
        <v>6</v>
      </c>
      <c r="E6">
        <v>0</v>
      </c>
      <c r="F6">
        <v>6</v>
      </c>
      <c r="G6" t="s">
        <v>13</v>
      </c>
      <c r="H6" t="s">
        <v>13</v>
      </c>
      <c r="I6">
        <v>0</v>
      </c>
      <c r="J6" t="s">
        <v>41</v>
      </c>
      <c r="K6">
        <v>0</v>
      </c>
      <c r="L6">
        <v>0</v>
      </c>
      <c r="M6">
        <v>16.7</v>
      </c>
      <c r="N6" t="s">
        <v>45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36F28-B7D2-4D59-B007-4E8A0A358153}">
  <dimension ref="A1:N23"/>
  <sheetViews>
    <sheetView topLeftCell="A2" workbookViewId="0">
      <selection activeCell="E14" sqref="A2:N23"/>
    </sheetView>
  </sheetViews>
  <sheetFormatPr defaultRowHeight="14.5" x14ac:dyDescent="0.35"/>
  <cols>
    <col min="1" max="1" width="6.81640625" bestFit="1" customWidth="1"/>
    <col min="2" max="2" width="9.08984375" bestFit="1" customWidth="1"/>
    <col min="3" max="3" width="7.90625" bestFit="1" customWidth="1"/>
    <col min="4" max="4" width="7.1796875" bestFit="1" customWidth="1"/>
    <col min="5" max="5" width="9.7265625" bestFit="1" customWidth="1"/>
    <col min="6" max="6" width="7.08984375" bestFit="1" customWidth="1"/>
    <col min="7" max="7" width="6.08984375" bestFit="1" customWidth="1"/>
    <col min="8" max="8" width="5.36328125" bestFit="1" customWidth="1"/>
    <col min="9" max="9" width="5.90625" bestFit="1" customWidth="1"/>
    <col min="10" max="10" width="6.6328125" bestFit="1" customWidth="1"/>
    <col min="11" max="12" width="4.90625" bestFit="1" customWidth="1"/>
    <col min="13" max="13" width="7.6328125" bestFit="1" customWidth="1"/>
    <col min="14" max="14" width="10.17968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42</v>
      </c>
    </row>
    <row r="2" spans="1:14" x14ac:dyDescent="0.35">
      <c r="A2">
        <v>2011</v>
      </c>
      <c r="B2">
        <v>1</v>
      </c>
      <c r="C2">
        <v>2</v>
      </c>
      <c r="D2">
        <v>9</v>
      </c>
      <c r="E2">
        <v>0</v>
      </c>
      <c r="F2">
        <v>4.5</v>
      </c>
      <c r="G2">
        <v>0</v>
      </c>
      <c r="H2">
        <v>0</v>
      </c>
      <c r="I2">
        <v>0</v>
      </c>
      <c r="J2" t="s">
        <v>14</v>
      </c>
      <c r="K2">
        <v>1</v>
      </c>
      <c r="L2">
        <v>0</v>
      </c>
      <c r="M2">
        <v>58.3</v>
      </c>
      <c r="N2" t="s">
        <v>43</v>
      </c>
    </row>
    <row r="3" spans="1:14" x14ac:dyDescent="0.35">
      <c r="A3">
        <v>2012</v>
      </c>
      <c r="B3">
        <v>2</v>
      </c>
      <c r="C3">
        <v>9</v>
      </c>
      <c r="D3">
        <v>26</v>
      </c>
      <c r="E3">
        <v>0</v>
      </c>
      <c r="F3">
        <v>2.89</v>
      </c>
      <c r="G3">
        <v>0</v>
      </c>
      <c r="H3">
        <v>0</v>
      </c>
      <c r="I3">
        <v>0</v>
      </c>
      <c r="J3" t="s">
        <v>15</v>
      </c>
      <c r="K3">
        <v>3</v>
      </c>
      <c r="L3">
        <v>0</v>
      </c>
      <c r="M3">
        <v>74.099999999999994</v>
      </c>
      <c r="N3" t="s">
        <v>43</v>
      </c>
    </row>
    <row r="4" spans="1:14" x14ac:dyDescent="0.35">
      <c r="A4">
        <v>2013</v>
      </c>
      <c r="B4">
        <v>1</v>
      </c>
      <c r="C4">
        <v>6</v>
      </c>
      <c r="D4">
        <v>18</v>
      </c>
      <c r="E4">
        <v>0</v>
      </c>
      <c r="F4">
        <v>3</v>
      </c>
      <c r="G4">
        <v>0</v>
      </c>
      <c r="H4">
        <v>0</v>
      </c>
      <c r="I4">
        <v>0</v>
      </c>
      <c r="J4" t="s">
        <v>16</v>
      </c>
      <c r="K4">
        <v>1</v>
      </c>
      <c r="L4">
        <v>0</v>
      </c>
      <c r="M4">
        <v>63.9</v>
      </c>
      <c r="N4" t="s">
        <v>43</v>
      </c>
    </row>
    <row r="5" spans="1:14" x14ac:dyDescent="0.35">
      <c r="A5">
        <v>2014</v>
      </c>
      <c r="B5">
        <v>2</v>
      </c>
      <c r="C5">
        <v>7</v>
      </c>
      <c r="D5">
        <v>17</v>
      </c>
      <c r="E5">
        <v>0</v>
      </c>
      <c r="F5">
        <v>2.4300000000000002</v>
      </c>
      <c r="G5">
        <v>0</v>
      </c>
      <c r="H5">
        <v>0</v>
      </c>
      <c r="I5">
        <v>0</v>
      </c>
      <c r="J5" t="s">
        <v>17</v>
      </c>
      <c r="K5">
        <v>2</v>
      </c>
      <c r="L5">
        <v>0</v>
      </c>
      <c r="M5">
        <v>81</v>
      </c>
      <c r="N5" t="s">
        <v>43</v>
      </c>
    </row>
    <row r="6" spans="1:14" x14ac:dyDescent="0.35">
      <c r="A6">
        <v>2015</v>
      </c>
      <c r="B6">
        <v>1</v>
      </c>
      <c r="C6">
        <v>1</v>
      </c>
      <c r="D6">
        <v>0</v>
      </c>
      <c r="E6">
        <v>0</v>
      </c>
      <c r="F6">
        <v>0</v>
      </c>
      <c r="G6">
        <v>0</v>
      </c>
      <c r="H6">
        <v>0</v>
      </c>
      <c r="I6">
        <v>0</v>
      </c>
      <c r="J6" t="s">
        <v>18</v>
      </c>
      <c r="K6">
        <v>0</v>
      </c>
      <c r="L6">
        <v>0</v>
      </c>
      <c r="M6">
        <v>100</v>
      </c>
      <c r="N6" t="s">
        <v>43</v>
      </c>
    </row>
    <row r="7" spans="1:14" x14ac:dyDescent="0.35">
      <c r="A7">
        <v>2017</v>
      </c>
      <c r="B7">
        <v>2</v>
      </c>
      <c r="C7">
        <v>2.1</v>
      </c>
      <c r="D7">
        <v>6</v>
      </c>
      <c r="E7">
        <v>0</v>
      </c>
      <c r="F7">
        <v>2.77</v>
      </c>
      <c r="G7">
        <v>0</v>
      </c>
      <c r="H7">
        <v>0</v>
      </c>
      <c r="I7">
        <v>0</v>
      </c>
      <c r="J7" t="s">
        <v>19</v>
      </c>
      <c r="K7">
        <v>1</v>
      </c>
      <c r="L7">
        <v>0</v>
      </c>
      <c r="M7">
        <v>76.900000000000006</v>
      </c>
      <c r="N7" t="s">
        <v>43</v>
      </c>
    </row>
    <row r="8" spans="1:14" x14ac:dyDescent="0.35">
      <c r="A8">
        <v>2019</v>
      </c>
      <c r="B8">
        <v>1</v>
      </c>
      <c r="C8">
        <v>1</v>
      </c>
      <c r="D8">
        <v>4</v>
      </c>
      <c r="E8">
        <v>0</v>
      </c>
      <c r="F8">
        <v>4</v>
      </c>
      <c r="G8">
        <v>0</v>
      </c>
      <c r="H8">
        <v>0</v>
      </c>
      <c r="I8">
        <v>0</v>
      </c>
      <c r="J8" t="s">
        <v>17</v>
      </c>
      <c r="K8">
        <v>1</v>
      </c>
      <c r="L8">
        <v>0</v>
      </c>
      <c r="M8">
        <v>83.3</v>
      </c>
      <c r="N8" t="s">
        <v>43</v>
      </c>
    </row>
    <row r="9" spans="1:14" x14ac:dyDescent="0.35">
      <c r="A9">
        <v>2020</v>
      </c>
      <c r="B9">
        <v>1</v>
      </c>
      <c r="C9">
        <v>1</v>
      </c>
      <c r="D9">
        <v>4</v>
      </c>
      <c r="E9">
        <v>0</v>
      </c>
      <c r="F9">
        <v>4</v>
      </c>
      <c r="G9">
        <v>0</v>
      </c>
      <c r="H9">
        <v>0</v>
      </c>
      <c r="I9">
        <v>0</v>
      </c>
      <c r="J9" t="s">
        <v>17</v>
      </c>
      <c r="K9">
        <v>1</v>
      </c>
      <c r="L9">
        <v>0</v>
      </c>
      <c r="M9">
        <v>83.3</v>
      </c>
      <c r="N9" t="s">
        <v>43</v>
      </c>
    </row>
    <row r="10" spans="1:14" x14ac:dyDescent="0.35">
      <c r="A10">
        <v>2009</v>
      </c>
      <c r="B10">
        <v>1</v>
      </c>
      <c r="C10">
        <v>3</v>
      </c>
      <c r="D10">
        <v>21</v>
      </c>
      <c r="E10">
        <v>0</v>
      </c>
      <c r="F10">
        <v>7</v>
      </c>
      <c r="G10">
        <v>0</v>
      </c>
      <c r="H10">
        <v>0</v>
      </c>
      <c r="I10">
        <v>0</v>
      </c>
      <c r="J10" t="s">
        <v>20</v>
      </c>
      <c r="K10">
        <v>2</v>
      </c>
      <c r="L10">
        <v>0</v>
      </c>
      <c r="M10">
        <v>22.2</v>
      </c>
      <c r="N10" t="s">
        <v>44</v>
      </c>
    </row>
    <row r="11" spans="1:14" x14ac:dyDescent="0.35">
      <c r="A11">
        <v>2010</v>
      </c>
      <c r="B11">
        <v>3</v>
      </c>
      <c r="C11">
        <v>6.4</v>
      </c>
      <c r="D11">
        <v>39</v>
      </c>
      <c r="E11">
        <v>0</v>
      </c>
      <c r="F11">
        <v>5.85</v>
      </c>
      <c r="G11">
        <v>0</v>
      </c>
      <c r="H11">
        <v>0</v>
      </c>
      <c r="I11">
        <v>0</v>
      </c>
      <c r="J11" t="s">
        <v>21</v>
      </c>
      <c r="K11">
        <v>3</v>
      </c>
      <c r="L11">
        <v>0</v>
      </c>
      <c r="M11">
        <v>35</v>
      </c>
      <c r="N11" t="s">
        <v>44</v>
      </c>
    </row>
    <row r="12" spans="1:14" x14ac:dyDescent="0.35">
      <c r="A12">
        <v>2011</v>
      </c>
      <c r="B12">
        <v>12</v>
      </c>
      <c r="C12">
        <v>34</v>
      </c>
      <c r="D12">
        <v>188</v>
      </c>
      <c r="E12">
        <v>2</v>
      </c>
      <c r="F12">
        <v>5.53</v>
      </c>
      <c r="G12" t="s">
        <v>22</v>
      </c>
      <c r="H12" t="s">
        <v>23</v>
      </c>
      <c r="I12">
        <v>0</v>
      </c>
      <c r="J12" t="s">
        <v>24</v>
      </c>
      <c r="K12">
        <v>12</v>
      </c>
      <c r="L12">
        <v>2</v>
      </c>
      <c r="M12">
        <v>39.200000000000003</v>
      </c>
      <c r="N12" t="s">
        <v>44</v>
      </c>
    </row>
    <row r="13" spans="1:14" x14ac:dyDescent="0.35">
      <c r="A13">
        <v>2012</v>
      </c>
      <c r="B13">
        <v>5</v>
      </c>
      <c r="C13">
        <v>7.5</v>
      </c>
      <c r="D13">
        <v>49</v>
      </c>
      <c r="E13">
        <v>0</v>
      </c>
      <c r="F13">
        <v>6.26</v>
      </c>
      <c r="G13">
        <v>0</v>
      </c>
      <c r="H13">
        <v>0</v>
      </c>
      <c r="I13">
        <v>0</v>
      </c>
      <c r="J13" t="s">
        <v>15</v>
      </c>
      <c r="K13">
        <v>2</v>
      </c>
      <c r="L13">
        <v>0</v>
      </c>
      <c r="M13">
        <v>38.299999999999997</v>
      </c>
      <c r="N13" t="s">
        <v>44</v>
      </c>
    </row>
    <row r="14" spans="1:14" x14ac:dyDescent="0.35">
      <c r="A14">
        <v>2013</v>
      </c>
      <c r="B14">
        <v>12</v>
      </c>
      <c r="C14">
        <v>25</v>
      </c>
      <c r="D14">
        <v>178</v>
      </c>
      <c r="E14">
        <v>1</v>
      </c>
      <c r="F14">
        <v>7.12</v>
      </c>
      <c r="G14" t="s">
        <v>25</v>
      </c>
      <c r="H14" t="s">
        <v>26</v>
      </c>
      <c r="I14">
        <v>0</v>
      </c>
      <c r="J14" t="s">
        <v>27</v>
      </c>
      <c r="K14">
        <v>12</v>
      </c>
      <c r="L14">
        <v>6</v>
      </c>
      <c r="M14">
        <v>38</v>
      </c>
      <c r="N14" t="s">
        <v>44</v>
      </c>
    </row>
    <row r="15" spans="1:14" x14ac:dyDescent="0.35">
      <c r="A15">
        <v>2014</v>
      </c>
      <c r="B15">
        <v>7</v>
      </c>
      <c r="C15">
        <v>17</v>
      </c>
      <c r="D15">
        <v>107</v>
      </c>
      <c r="E15">
        <v>1</v>
      </c>
      <c r="F15">
        <v>6.29</v>
      </c>
      <c r="G15" t="s">
        <v>28</v>
      </c>
      <c r="H15" t="s">
        <v>23</v>
      </c>
      <c r="I15">
        <v>0</v>
      </c>
      <c r="J15" t="s">
        <v>29</v>
      </c>
      <c r="K15">
        <v>12</v>
      </c>
      <c r="L15">
        <v>1</v>
      </c>
      <c r="M15">
        <v>39.200000000000003</v>
      </c>
      <c r="N15" t="s">
        <v>44</v>
      </c>
    </row>
    <row r="16" spans="1:14" x14ac:dyDescent="0.35">
      <c r="A16">
        <v>2015</v>
      </c>
      <c r="B16">
        <v>4</v>
      </c>
      <c r="C16">
        <v>5.2</v>
      </c>
      <c r="D16">
        <v>34</v>
      </c>
      <c r="E16">
        <v>0</v>
      </c>
      <c r="F16">
        <v>6.38</v>
      </c>
      <c r="G16">
        <v>0</v>
      </c>
      <c r="H16">
        <v>0</v>
      </c>
      <c r="I16">
        <v>0</v>
      </c>
      <c r="J16" t="s">
        <v>19</v>
      </c>
      <c r="K16">
        <v>2</v>
      </c>
      <c r="L16">
        <v>0</v>
      </c>
      <c r="M16">
        <v>28.1</v>
      </c>
      <c r="N16" t="s">
        <v>44</v>
      </c>
    </row>
    <row r="17" spans="1:14" x14ac:dyDescent="0.35">
      <c r="A17">
        <v>2016</v>
      </c>
      <c r="B17">
        <v>2</v>
      </c>
      <c r="C17">
        <v>3</v>
      </c>
      <c r="D17">
        <v>20</v>
      </c>
      <c r="E17">
        <v>0</v>
      </c>
      <c r="F17">
        <v>6.67</v>
      </c>
      <c r="G17">
        <v>0</v>
      </c>
      <c r="H17">
        <v>0</v>
      </c>
      <c r="I17">
        <v>0</v>
      </c>
      <c r="J17" t="s">
        <v>30</v>
      </c>
      <c r="K17">
        <v>2</v>
      </c>
      <c r="L17">
        <v>0</v>
      </c>
      <c r="M17">
        <v>27.8</v>
      </c>
      <c r="N17" t="s">
        <v>44</v>
      </c>
    </row>
    <row r="18" spans="1:14" x14ac:dyDescent="0.35">
      <c r="A18">
        <v>2017</v>
      </c>
      <c r="B18">
        <v>2</v>
      </c>
      <c r="C18">
        <v>5</v>
      </c>
      <c r="D18">
        <v>29</v>
      </c>
      <c r="E18">
        <v>0</v>
      </c>
      <c r="F18">
        <v>5.8</v>
      </c>
      <c r="G18">
        <v>0</v>
      </c>
      <c r="H18">
        <v>0</v>
      </c>
      <c r="I18">
        <v>0</v>
      </c>
      <c r="J18" t="s">
        <v>31</v>
      </c>
      <c r="K18">
        <v>3</v>
      </c>
      <c r="L18">
        <v>0</v>
      </c>
      <c r="M18">
        <v>36.700000000000003</v>
      </c>
      <c r="N18" t="s">
        <v>44</v>
      </c>
    </row>
    <row r="19" spans="1:14" x14ac:dyDescent="0.35">
      <c r="A19">
        <v>2011</v>
      </c>
      <c r="B19">
        <v>2</v>
      </c>
      <c r="C19">
        <v>5.4</v>
      </c>
      <c r="D19">
        <v>35</v>
      </c>
      <c r="E19">
        <v>2</v>
      </c>
      <c r="F19">
        <v>6.18</v>
      </c>
      <c r="G19" t="s">
        <v>32</v>
      </c>
      <c r="H19" t="s">
        <v>33</v>
      </c>
      <c r="I19">
        <v>0</v>
      </c>
      <c r="J19" t="s">
        <v>34</v>
      </c>
      <c r="K19">
        <v>3</v>
      </c>
      <c r="L19">
        <v>0</v>
      </c>
      <c r="M19">
        <v>44.1</v>
      </c>
      <c r="N19" t="s">
        <v>45</v>
      </c>
    </row>
    <row r="20" spans="1:14" x14ac:dyDescent="0.35">
      <c r="A20">
        <v>2012</v>
      </c>
      <c r="B20">
        <v>8</v>
      </c>
      <c r="C20">
        <v>15</v>
      </c>
      <c r="D20">
        <v>124</v>
      </c>
      <c r="E20">
        <v>1</v>
      </c>
      <c r="F20">
        <v>8.27</v>
      </c>
      <c r="G20" t="s">
        <v>35</v>
      </c>
      <c r="H20" t="s">
        <v>36</v>
      </c>
      <c r="I20">
        <v>0</v>
      </c>
      <c r="J20" t="s">
        <v>37</v>
      </c>
      <c r="K20">
        <v>12</v>
      </c>
      <c r="L20">
        <v>2</v>
      </c>
      <c r="M20">
        <v>25.6</v>
      </c>
      <c r="N20" t="s">
        <v>45</v>
      </c>
    </row>
    <row r="21" spans="1:14" x14ac:dyDescent="0.35">
      <c r="A21">
        <v>2013</v>
      </c>
      <c r="B21">
        <v>1</v>
      </c>
      <c r="C21">
        <v>2</v>
      </c>
      <c r="D21">
        <v>24</v>
      </c>
      <c r="E21">
        <v>0</v>
      </c>
      <c r="F21">
        <v>12</v>
      </c>
      <c r="G21">
        <v>0</v>
      </c>
      <c r="H21">
        <v>0</v>
      </c>
      <c r="I21">
        <v>0</v>
      </c>
      <c r="J21" t="s">
        <v>38</v>
      </c>
      <c r="K21">
        <v>2</v>
      </c>
      <c r="L21">
        <v>1</v>
      </c>
      <c r="M21">
        <v>25</v>
      </c>
      <c r="N21" t="s">
        <v>45</v>
      </c>
    </row>
    <row r="22" spans="1:14" x14ac:dyDescent="0.35">
      <c r="A22">
        <v>2016</v>
      </c>
      <c r="B22">
        <v>1</v>
      </c>
      <c r="C22">
        <v>1.4</v>
      </c>
      <c r="D22">
        <v>15</v>
      </c>
      <c r="E22">
        <v>1</v>
      </c>
      <c r="F22">
        <v>9</v>
      </c>
      <c r="G22" t="s">
        <v>39</v>
      </c>
      <c r="H22" t="s">
        <v>40</v>
      </c>
      <c r="I22">
        <v>0</v>
      </c>
      <c r="J22" t="s">
        <v>27</v>
      </c>
      <c r="K22">
        <v>1</v>
      </c>
      <c r="L22">
        <v>1</v>
      </c>
      <c r="M22">
        <v>40</v>
      </c>
      <c r="N22" t="s">
        <v>45</v>
      </c>
    </row>
    <row r="23" spans="1:14" x14ac:dyDescent="0.35">
      <c r="A23">
        <v>2022</v>
      </c>
      <c r="B23">
        <v>1</v>
      </c>
      <c r="C23">
        <v>1</v>
      </c>
      <c r="D23">
        <v>6</v>
      </c>
      <c r="E23">
        <v>0</v>
      </c>
      <c r="F23">
        <v>6</v>
      </c>
      <c r="G23">
        <v>0</v>
      </c>
      <c r="H23">
        <v>0</v>
      </c>
      <c r="I23">
        <v>0</v>
      </c>
      <c r="J23" t="s">
        <v>41</v>
      </c>
      <c r="K23">
        <v>0</v>
      </c>
      <c r="L23">
        <v>0</v>
      </c>
      <c r="M23">
        <v>16.7</v>
      </c>
      <c r="N23" t="s">
        <v>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95FCD-BECF-4BFF-8646-24868B3825A7}">
  <dimension ref="A3:M40"/>
  <sheetViews>
    <sheetView topLeftCell="A45" workbookViewId="0">
      <selection activeCell="H54" sqref="H54"/>
    </sheetView>
  </sheetViews>
  <sheetFormatPr defaultRowHeight="14.5" x14ac:dyDescent="0.35"/>
  <cols>
    <col min="1" max="1" width="12.36328125" bestFit="1" customWidth="1"/>
    <col min="2" max="2" width="11.90625" bestFit="1" customWidth="1"/>
    <col min="3" max="3" width="8.90625" bestFit="1" customWidth="1"/>
    <col min="4" max="5" width="12.36328125" bestFit="1" customWidth="1"/>
    <col min="6" max="6" width="15.26953125" bestFit="1" customWidth="1"/>
    <col min="7" max="8" width="5.81640625" bestFit="1" customWidth="1"/>
    <col min="9" max="9" width="10.7265625" bestFit="1" customWidth="1"/>
    <col min="11" max="11" width="12.36328125" bestFit="1" customWidth="1"/>
    <col min="12" max="12" width="13.1796875" bestFit="1" customWidth="1"/>
    <col min="13" max="13" width="8.90625" bestFit="1" customWidth="1"/>
  </cols>
  <sheetData>
    <row r="3" spans="1:13" x14ac:dyDescent="0.35">
      <c r="K3" s="1" t="s">
        <v>46</v>
      </c>
      <c r="L3" t="s">
        <v>51</v>
      </c>
      <c r="M3" t="s">
        <v>52</v>
      </c>
    </row>
    <row r="4" spans="1:13" x14ac:dyDescent="0.35">
      <c r="K4" s="2" t="s">
        <v>44</v>
      </c>
      <c r="L4" s="9">
        <v>50</v>
      </c>
      <c r="M4" s="9">
        <v>9</v>
      </c>
    </row>
    <row r="5" spans="1:13" x14ac:dyDescent="0.35">
      <c r="K5" s="2" t="s">
        <v>45</v>
      </c>
      <c r="L5" s="9">
        <v>18</v>
      </c>
      <c r="M5" s="9">
        <v>4</v>
      </c>
    </row>
    <row r="6" spans="1:13" x14ac:dyDescent="0.35">
      <c r="K6" s="2" t="s">
        <v>43</v>
      </c>
      <c r="L6" s="9">
        <v>10</v>
      </c>
      <c r="M6" s="9">
        <v>0</v>
      </c>
    </row>
    <row r="7" spans="1:13" x14ac:dyDescent="0.35">
      <c r="K7" s="2" t="s">
        <v>47</v>
      </c>
      <c r="L7" s="9">
        <v>78</v>
      </c>
      <c r="M7" s="9">
        <v>13</v>
      </c>
    </row>
    <row r="11" spans="1:13" x14ac:dyDescent="0.35">
      <c r="A11" s="1" t="s">
        <v>46</v>
      </c>
      <c r="B11" t="s">
        <v>55</v>
      </c>
    </row>
    <row r="12" spans="1:13" x14ac:dyDescent="0.35">
      <c r="A12" s="2" t="s">
        <v>44</v>
      </c>
      <c r="B12" s="5">
        <v>0.28280858177765394</v>
      </c>
    </row>
    <row r="13" spans="1:13" x14ac:dyDescent="0.35">
      <c r="A13" s="2" t="s">
        <v>45</v>
      </c>
      <c r="B13" s="5">
        <v>0.14061484164576948</v>
      </c>
      <c r="K13" s="1" t="s">
        <v>46</v>
      </c>
      <c r="L13" t="s">
        <v>56</v>
      </c>
    </row>
    <row r="14" spans="1:13" x14ac:dyDescent="0.35">
      <c r="A14" s="2" t="s">
        <v>43</v>
      </c>
      <c r="B14" s="5">
        <v>0.57657657657657657</v>
      </c>
      <c r="K14" s="2" t="s">
        <v>44</v>
      </c>
      <c r="L14" s="9">
        <v>48</v>
      </c>
    </row>
    <row r="15" spans="1:13" x14ac:dyDescent="0.35">
      <c r="A15" s="2" t="s">
        <v>47</v>
      </c>
      <c r="B15" s="5">
        <v>1</v>
      </c>
      <c r="K15" s="2" t="s">
        <v>45</v>
      </c>
      <c r="L15" s="9">
        <v>13</v>
      </c>
    </row>
    <row r="16" spans="1:13" x14ac:dyDescent="0.35">
      <c r="A16" s="1" t="s">
        <v>46</v>
      </c>
      <c r="B16" t="s">
        <v>48</v>
      </c>
      <c r="K16" s="2" t="s">
        <v>43</v>
      </c>
      <c r="L16" s="9">
        <v>11</v>
      </c>
    </row>
    <row r="17" spans="1:12" x14ac:dyDescent="0.35">
      <c r="A17" s="2" t="s">
        <v>44</v>
      </c>
      <c r="B17" s="9">
        <v>4</v>
      </c>
      <c r="K17" s="2" t="s">
        <v>47</v>
      </c>
      <c r="L17" s="9">
        <v>72</v>
      </c>
    </row>
    <row r="18" spans="1:12" x14ac:dyDescent="0.35">
      <c r="A18" s="2" t="s">
        <v>45</v>
      </c>
      <c r="B18" s="9">
        <v>4</v>
      </c>
    </row>
    <row r="19" spans="1:12" x14ac:dyDescent="0.35">
      <c r="A19" s="2" t="s">
        <v>43</v>
      </c>
      <c r="B19" s="9">
        <v>0</v>
      </c>
    </row>
    <row r="20" spans="1:12" x14ac:dyDescent="0.35">
      <c r="A20" s="2" t="s">
        <v>47</v>
      </c>
      <c r="B20" s="9">
        <v>8</v>
      </c>
    </row>
    <row r="22" spans="1:12" x14ac:dyDescent="0.35">
      <c r="A22" s="1" t="s">
        <v>46</v>
      </c>
      <c r="B22" t="s">
        <v>54</v>
      </c>
    </row>
    <row r="23" spans="1:12" x14ac:dyDescent="0.35">
      <c r="A23" s="2" t="s">
        <v>44</v>
      </c>
      <c r="B23" s="6">
        <v>6.3222222222222229</v>
      </c>
    </row>
    <row r="24" spans="1:12" x14ac:dyDescent="0.35">
      <c r="A24" s="2" t="s">
        <v>45</v>
      </c>
      <c r="B24" s="9">
        <v>8.2900000000000009</v>
      </c>
    </row>
    <row r="25" spans="1:12" x14ac:dyDescent="0.35">
      <c r="A25" s="2" t="s">
        <v>43</v>
      </c>
      <c r="B25" s="6">
        <v>2.94875</v>
      </c>
    </row>
    <row r="26" spans="1:12" x14ac:dyDescent="0.35">
      <c r="A26" s="2" t="s">
        <v>47</v>
      </c>
      <c r="B26" s="3">
        <v>5.5427272727272729</v>
      </c>
      <c r="E26" s="1" t="s">
        <v>49</v>
      </c>
      <c r="F26" s="1" t="s">
        <v>53</v>
      </c>
    </row>
    <row r="27" spans="1:12" x14ac:dyDescent="0.35">
      <c r="E27" s="1" t="s">
        <v>46</v>
      </c>
      <c r="F27" t="s">
        <v>44</v>
      </c>
      <c r="G27" t="s">
        <v>45</v>
      </c>
      <c r="H27" t="s">
        <v>43</v>
      </c>
      <c r="I27" t="s">
        <v>47</v>
      </c>
    </row>
    <row r="28" spans="1:12" x14ac:dyDescent="0.35">
      <c r="A28" s="1" t="s">
        <v>46</v>
      </c>
      <c r="B28" t="s">
        <v>50</v>
      </c>
      <c r="E28" s="2">
        <v>2009</v>
      </c>
      <c r="F28" s="9">
        <v>7</v>
      </c>
      <c r="G28" s="9"/>
      <c r="H28" s="9"/>
      <c r="I28" s="9">
        <v>7</v>
      </c>
    </row>
    <row r="29" spans="1:12" x14ac:dyDescent="0.35">
      <c r="A29" s="2" t="s">
        <v>44</v>
      </c>
      <c r="B29" s="9">
        <v>106.10000000000001</v>
      </c>
      <c r="E29" s="2">
        <v>2010</v>
      </c>
      <c r="F29" s="9">
        <v>5.85</v>
      </c>
      <c r="G29" s="9"/>
      <c r="H29" s="9"/>
      <c r="I29" s="9">
        <v>5.85</v>
      </c>
    </row>
    <row r="30" spans="1:12" x14ac:dyDescent="0.35">
      <c r="A30" s="2" t="s">
        <v>45</v>
      </c>
      <c r="B30" s="9">
        <v>24.799999999999997</v>
      </c>
      <c r="E30" s="2">
        <v>2011</v>
      </c>
      <c r="F30" s="9">
        <v>5.53</v>
      </c>
      <c r="G30" s="9">
        <v>6.18</v>
      </c>
      <c r="H30" s="9">
        <v>4.5</v>
      </c>
      <c r="I30" s="9">
        <v>16.21</v>
      </c>
    </row>
    <row r="31" spans="1:12" x14ac:dyDescent="0.35">
      <c r="A31" s="2" t="s">
        <v>43</v>
      </c>
      <c r="B31" s="9">
        <v>29.1</v>
      </c>
      <c r="E31" s="2">
        <v>2012</v>
      </c>
      <c r="F31" s="9">
        <v>6.26</v>
      </c>
      <c r="G31" s="9">
        <v>8.27</v>
      </c>
      <c r="H31" s="9">
        <v>2.89</v>
      </c>
      <c r="I31" s="9">
        <v>17.419999999999998</v>
      </c>
    </row>
    <row r="32" spans="1:12" x14ac:dyDescent="0.35">
      <c r="A32" s="2" t="s">
        <v>47</v>
      </c>
      <c r="B32" s="9">
        <v>160</v>
      </c>
      <c r="E32" s="2">
        <v>2013</v>
      </c>
      <c r="F32" s="9">
        <v>7.12</v>
      </c>
      <c r="G32" s="9">
        <v>12</v>
      </c>
      <c r="H32" s="9">
        <v>3</v>
      </c>
      <c r="I32" s="9">
        <v>22.12</v>
      </c>
    </row>
    <row r="33" spans="5:9" x14ac:dyDescent="0.35">
      <c r="E33" s="2">
        <v>2014</v>
      </c>
      <c r="F33" s="9">
        <v>6.29</v>
      </c>
      <c r="G33" s="9"/>
      <c r="H33" s="9">
        <v>2.4300000000000002</v>
      </c>
      <c r="I33" s="9">
        <v>8.7200000000000006</v>
      </c>
    </row>
    <row r="34" spans="5:9" x14ac:dyDescent="0.35">
      <c r="E34" s="2">
        <v>2015</v>
      </c>
      <c r="F34" s="9">
        <v>6.38</v>
      </c>
      <c r="G34" s="9"/>
      <c r="H34" s="9">
        <v>0</v>
      </c>
      <c r="I34" s="9">
        <v>6.38</v>
      </c>
    </row>
    <row r="35" spans="5:9" x14ac:dyDescent="0.35">
      <c r="E35" s="2">
        <v>2016</v>
      </c>
      <c r="F35" s="9">
        <v>6.67</v>
      </c>
      <c r="G35" s="9">
        <v>9</v>
      </c>
      <c r="H35" s="9"/>
      <c r="I35" s="9">
        <v>15.67</v>
      </c>
    </row>
    <row r="36" spans="5:9" x14ac:dyDescent="0.35">
      <c r="E36" s="2">
        <v>2017</v>
      </c>
      <c r="F36" s="9">
        <v>5.8</v>
      </c>
      <c r="G36" s="9"/>
      <c r="H36" s="9">
        <v>2.77</v>
      </c>
      <c r="I36" s="9">
        <v>8.57</v>
      </c>
    </row>
    <row r="37" spans="5:9" x14ac:dyDescent="0.35">
      <c r="E37" s="2">
        <v>2019</v>
      </c>
      <c r="F37" s="9"/>
      <c r="G37" s="9"/>
      <c r="H37" s="9">
        <v>4</v>
      </c>
      <c r="I37" s="9">
        <v>4</v>
      </c>
    </row>
    <row r="38" spans="5:9" x14ac:dyDescent="0.35">
      <c r="E38" s="2">
        <v>2020</v>
      </c>
      <c r="F38" s="9"/>
      <c r="G38" s="9"/>
      <c r="H38" s="9">
        <v>4</v>
      </c>
      <c r="I38" s="9">
        <v>4</v>
      </c>
    </row>
    <row r="39" spans="5:9" x14ac:dyDescent="0.35">
      <c r="E39" s="2">
        <v>2022</v>
      </c>
      <c r="F39" s="9"/>
      <c r="G39" s="9">
        <v>6</v>
      </c>
      <c r="H39" s="9"/>
      <c r="I39" s="9">
        <v>6</v>
      </c>
    </row>
    <row r="40" spans="5:9" x14ac:dyDescent="0.35">
      <c r="E40" s="2" t="s">
        <v>47</v>
      </c>
      <c r="F40" s="9">
        <v>56.900000000000006</v>
      </c>
      <c r="G40" s="9">
        <v>41.45</v>
      </c>
      <c r="H40" s="9">
        <v>23.59</v>
      </c>
      <c r="I40" s="9">
        <v>121.94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8F0CF-7880-40B6-9C74-9D6663DF3DE5}">
  <dimension ref="A1:T1"/>
  <sheetViews>
    <sheetView showGridLines="0" tabSelected="1" zoomScale="104" zoomScaleNormal="104" workbookViewId="0">
      <selection activeCell="R56" sqref="R56"/>
    </sheetView>
  </sheetViews>
  <sheetFormatPr defaultRowHeight="14.5" x14ac:dyDescent="0.35"/>
  <cols>
    <col min="1" max="16384" width="8.7265625" style="4"/>
  </cols>
  <sheetData>
    <row r="1" spans="1:20" ht="56" customHeight="1" x14ac:dyDescent="0.6">
      <c r="A1" s="7" t="s">
        <v>57</v>
      </c>
      <c r="B1" s="8"/>
      <c r="C1" s="8"/>
      <c r="D1" s="8"/>
      <c r="E1" s="8"/>
      <c r="F1" s="8"/>
      <c r="G1" s="8"/>
      <c r="H1" s="8"/>
      <c r="I1" s="8"/>
      <c r="J1" s="8"/>
      <c r="K1" s="8"/>
      <c r="L1" s="8"/>
      <c r="M1" s="8"/>
      <c r="N1" s="8"/>
      <c r="O1" s="8"/>
      <c r="P1" s="8"/>
      <c r="Q1" s="8"/>
      <c r="R1" s="8"/>
      <c r="S1" s="8"/>
      <c r="T1" s="8"/>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72AF7-DF20-4B92-8BDB-1A800219CC93}">
  <dimension ref="A1:N10"/>
  <sheetViews>
    <sheetView workbookViewId="0"/>
  </sheetViews>
  <sheetFormatPr defaultRowHeight="14.5" x14ac:dyDescent="0.35"/>
  <cols>
    <col min="1" max="1" width="6.81640625" bestFit="1" customWidth="1"/>
    <col min="2" max="2" width="9.08984375" bestFit="1" customWidth="1"/>
    <col min="3" max="3" width="7.90625" bestFit="1" customWidth="1"/>
    <col min="4" max="4" width="7.1796875" bestFit="1" customWidth="1"/>
    <col min="5" max="5" width="9.7265625" bestFit="1" customWidth="1"/>
    <col min="6" max="6" width="7.08984375" bestFit="1" customWidth="1"/>
    <col min="7" max="7" width="6.08984375" bestFit="1" customWidth="1"/>
    <col min="8" max="8" width="5.36328125" bestFit="1" customWidth="1"/>
    <col min="9" max="9" width="5.90625" bestFit="1" customWidth="1"/>
    <col min="10" max="10" width="5.81640625" bestFit="1" customWidth="1"/>
    <col min="11" max="12" width="4.90625" bestFit="1" customWidth="1"/>
    <col min="13" max="13" width="7.6328125" bestFit="1" customWidth="1"/>
    <col min="14" max="14" width="10.17968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42</v>
      </c>
    </row>
    <row r="2" spans="1:14" x14ac:dyDescent="0.35">
      <c r="A2">
        <v>2009</v>
      </c>
      <c r="B2">
        <v>1</v>
      </c>
      <c r="C2">
        <v>3</v>
      </c>
      <c r="D2">
        <v>21</v>
      </c>
      <c r="E2">
        <v>0</v>
      </c>
      <c r="F2">
        <v>7</v>
      </c>
      <c r="G2" t="s">
        <v>13</v>
      </c>
      <c r="H2" t="s">
        <v>13</v>
      </c>
      <c r="I2">
        <v>0</v>
      </c>
      <c r="J2" t="s">
        <v>20</v>
      </c>
      <c r="K2">
        <v>2</v>
      </c>
      <c r="L2">
        <v>0</v>
      </c>
      <c r="M2">
        <v>22.2</v>
      </c>
      <c r="N2" t="s">
        <v>44</v>
      </c>
    </row>
    <row r="3" spans="1:14" x14ac:dyDescent="0.35">
      <c r="A3">
        <v>2010</v>
      </c>
      <c r="B3">
        <v>3</v>
      </c>
      <c r="C3">
        <v>6.4</v>
      </c>
      <c r="D3">
        <v>39</v>
      </c>
      <c r="E3">
        <v>0</v>
      </c>
      <c r="F3">
        <v>5.85</v>
      </c>
      <c r="G3" t="s">
        <v>13</v>
      </c>
      <c r="H3" t="s">
        <v>13</v>
      </c>
      <c r="I3">
        <v>0</v>
      </c>
      <c r="J3" t="s">
        <v>21</v>
      </c>
      <c r="K3">
        <v>3</v>
      </c>
      <c r="L3">
        <v>0</v>
      </c>
      <c r="M3">
        <v>35</v>
      </c>
      <c r="N3" t="s">
        <v>44</v>
      </c>
    </row>
    <row r="4" spans="1:14" x14ac:dyDescent="0.35">
      <c r="A4">
        <v>2011</v>
      </c>
      <c r="B4">
        <v>12</v>
      </c>
      <c r="C4">
        <v>34</v>
      </c>
      <c r="D4">
        <v>188</v>
      </c>
      <c r="E4">
        <v>2</v>
      </c>
      <c r="F4">
        <v>5.53</v>
      </c>
      <c r="G4" t="s">
        <v>22</v>
      </c>
      <c r="H4" t="s">
        <v>23</v>
      </c>
      <c r="I4">
        <v>0</v>
      </c>
      <c r="J4" t="s">
        <v>24</v>
      </c>
      <c r="K4">
        <v>12</v>
      </c>
      <c r="L4">
        <v>2</v>
      </c>
      <c r="M4">
        <v>39.200000000000003</v>
      </c>
      <c r="N4" t="s">
        <v>44</v>
      </c>
    </row>
    <row r="5" spans="1:14" x14ac:dyDescent="0.35">
      <c r="A5">
        <v>2012</v>
      </c>
      <c r="B5">
        <v>5</v>
      </c>
      <c r="C5">
        <v>7.5</v>
      </c>
      <c r="D5">
        <v>49</v>
      </c>
      <c r="E5">
        <v>0</v>
      </c>
      <c r="F5">
        <v>6.26</v>
      </c>
      <c r="G5" t="s">
        <v>13</v>
      </c>
      <c r="H5" t="s">
        <v>13</v>
      </c>
      <c r="I5">
        <v>0</v>
      </c>
      <c r="J5" t="s">
        <v>15</v>
      </c>
      <c r="K5">
        <v>2</v>
      </c>
      <c r="L5">
        <v>0</v>
      </c>
      <c r="M5">
        <v>38.299999999999997</v>
      </c>
      <c r="N5" t="s">
        <v>44</v>
      </c>
    </row>
    <row r="6" spans="1:14" x14ac:dyDescent="0.35">
      <c r="A6">
        <v>2013</v>
      </c>
      <c r="B6">
        <v>12</v>
      </c>
      <c r="C6">
        <v>25</v>
      </c>
      <c r="D6">
        <v>178</v>
      </c>
      <c r="E6">
        <v>1</v>
      </c>
      <c r="F6">
        <v>7.12</v>
      </c>
      <c r="G6" t="s">
        <v>25</v>
      </c>
      <c r="H6" t="s">
        <v>26</v>
      </c>
      <c r="I6">
        <v>0</v>
      </c>
      <c r="J6" t="s">
        <v>27</v>
      </c>
      <c r="K6">
        <v>12</v>
      </c>
      <c r="L6">
        <v>6</v>
      </c>
      <c r="M6">
        <v>38</v>
      </c>
      <c r="N6" t="s">
        <v>44</v>
      </c>
    </row>
    <row r="7" spans="1:14" x14ac:dyDescent="0.35">
      <c r="A7">
        <v>2014</v>
      </c>
      <c r="B7">
        <v>7</v>
      </c>
      <c r="C7">
        <v>17</v>
      </c>
      <c r="D7">
        <v>107</v>
      </c>
      <c r="E7">
        <v>1</v>
      </c>
      <c r="F7">
        <v>6.29</v>
      </c>
      <c r="G7" t="s">
        <v>28</v>
      </c>
      <c r="H7" t="s">
        <v>23</v>
      </c>
      <c r="I7">
        <v>0</v>
      </c>
      <c r="J7" t="s">
        <v>29</v>
      </c>
      <c r="K7">
        <v>12</v>
      </c>
      <c r="L7">
        <v>1</v>
      </c>
      <c r="M7">
        <v>39.200000000000003</v>
      </c>
      <c r="N7" t="s">
        <v>44</v>
      </c>
    </row>
    <row r="8" spans="1:14" x14ac:dyDescent="0.35">
      <c r="A8">
        <v>2015</v>
      </c>
      <c r="B8">
        <v>4</v>
      </c>
      <c r="C8">
        <v>5.2</v>
      </c>
      <c r="D8">
        <v>34</v>
      </c>
      <c r="E8">
        <v>0</v>
      </c>
      <c r="F8">
        <v>6.38</v>
      </c>
      <c r="G8" t="s">
        <v>13</v>
      </c>
      <c r="H8" t="s">
        <v>13</v>
      </c>
      <c r="I8">
        <v>0</v>
      </c>
      <c r="J8" t="s">
        <v>19</v>
      </c>
      <c r="K8">
        <v>2</v>
      </c>
      <c r="L8">
        <v>0</v>
      </c>
      <c r="M8">
        <v>28.1</v>
      </c>
      <c r="N8" t="s">
        <v>44</v>
      </c>
    </row>
    <row r="9" spans="1:14" x14ac:dyDescent="0.35">
      <c r="A9">
        <v>2016</v>
      </c>
      <c r="B9">
        <v>2</v>
      </c>
      <c r="C9">
        <v>3</v>
      </c>
      <c r="D9">
        <v>20</v>
      </c>
      <c r="E9">
        <v>0</v>
      </c>
      <c r="F9">
        <v>6.67</v>
      </c>
      <c r="G9" t="s">
        <v>13</v>
      </c>
      <c r="H9" t="s">
        <v>13</v>
      </c>
      <c r="I9">
        <v>0</v>
      </c>
      <c r="J9" t="s">
        <v>30</v>
      </c>
      <c r="K9">
        <v>2</v>
      </c>
      <c r="L9">
        <v>0</v>
      </c>
      <c r="M9">
        <v>27.8</v>
      </c>
      <c r="N9" t="s">
        <v>44</v>
      </c>
    </row>
    <row r="10" spans="1:14" x14ac:dyDescent="0.35">
      <c r="A10">
        <v>2017</v>
      </c>
      <c r="B10">
        <v>2</v>
      </c>
      <c r="C10">
        <v>5</v>
      </c>
      <c r="D10">
        <v>29</v>
      </c>
      <c r="E10">
        <v>0</v>
      </c>
      <c r="F10">
        <v>5.8</v>
      </c>
      <c r="G10" t="s">
        <v>13</v>
      </c>
      <c r="H10" t="s">
        <v>13</v>
      </c>
      <c r="I10">
        <v>0</v>
      </c>
      <c r="J10" t="s">
        <v>31</v>
      </c>
      <c r="K10">
        <v>3</v>
      </c>
      <c r="L10">
        <v>0</v>
      </c>
      <c r="M10">
        <v>36.700000000000003</v>
      </c>
      <c r="N10" t="s">
        <v>44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BD66B-C523-477F-93E9-1F42A3CBF466}">
  <dimension ref="A1:N10"/>
  <sheetViews>
    <sheetView workbookViewId="0">
      <selection activeCell="E24" sqref="E24"/>
    </sheetView>
  </sheetViews>
  <sheetFormatPr defaultRowHeight="14.5" x14ac:dyDescent="0.35"/>
  <cols>
    <col min="1" max="1" width="6.81640625" bestFit="1" customWidth="1"/>
    <col min="2" max="2" width="9.08984375" bestFit="1" customWidth="1"/>
    <col min="3" max="3" width="7.90625" bestFit="1" customWidth="1"/>
    <col min="4" max="4" width="7.1796875" bestFit="1" customWidth="1"/>
    <col min="5" max="5" width="9.7265625" bestFit="1" customWidth="1"/>
    <col min="6" max="6" width="7.08984375" bestFit="1" customWidth="1"/>
    <col min="7" max="7" width="6.08984375" bestFit="1" customWidth="1"/>
    <col min="8" max="8" width="5.36328125" bestFit="1" customWidth="1"/>
    <col min="9" max="9" width="5.90625" bestFit="1" customWidth="1"/>
    <col min="10" max="10" width="5.81640625" bestFit="1" customWidth="1"/>
    <col min="11" max="12" width="4.90625" bestFit="1" customWidth="1"/>
    <col min="13" max="13" width="7.63281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42</v>
      </c>
    </row>
    <row r="2" spans="1:14" x14ac:dyDescent="0.35">
      <c r="A2">
        <v>2009</v>
      </c>
      <c r="B2">
        <v>1</v>
      </c>
      <c r="C2">
        <v>3</v>
      </c>
      <c r="D2">
        <v>21</v>
      </c>
      <c r="E2">
        <v>0</v>
      </c>
      <c r="F2">
        <v>7</v>
      </c>
      <c r="G2" t="s">
        <v>13</v>
      </c>
      <c r="H2" t="s">
        <v>13</v>
      </c>
      <c r="I2">
        <v>0</v>
      </c>
      <c r="J2" t="s">
        <v>20</v>
      </c>
      <c r="K2">
        <v>2</v>
      </c>
      <c r="L2">
        <v>0</v>
      </c>
      <c r="M2">
        <v>22.2</v>
      </c>
      <c r="N2" t="s">
        <v>44</v>
      </c>
    </row>
    <row r="3" spans="1:14" x14ac:dyDescent="0.35">
      <c r="A3">
        <v>2010</v>
      </c>
      <c r="B3">
        <v>3</v>
      </c>
      <c r="C3">
        <v>6.4</v>
      </c>
      <c r="D3">
        <v>39</v>
      </c>
      <c r="E3">
        <v>0</v>
      </c>
      <c r="F3">
        <v>5.85</v>
      </c>
      <c r="G3" t="s">
        <v>13</v>
      </c>
      <c r="H3" t="s">
        <v>13</v>
      </c>
      <c r="I3">
        <v>0</v>
      </c>
      <c r="J3" t="s">
        <v>21</v>
      </c>
      <c r="K3">
        <v>3</v>
      </c>
      <c r="L3">
        <v>0</v>
      </c>
      <c r="M3">
        <v>35</v>
      </c>
      <c r="N3" t="s">
        <v>44</v>
      </c>
    </row>
    <row r="4" spans="1:14" x14ac:dyDescent="0.35">
      <c r="A4">
        <v>2011</v>
      </c>
      <c r="B4">
        <v>12</v>
      </c>
      <c r="C4">
        <v>34</v>
      </c>
      <c r="D4">
        <v>188</v>
      </c>
      <c r="E4">
        <v>2</v>
      </c>
      <c r="F4">
        <v>5.53</v>
      </c>
      <c r="G4" t="s">
        <v>22</v>
      </c>
      <c r="H4" t="s">
        <v>23</v>
      </c>
      <c r="I4">
        <v>0</v>
      </c>
      <c r="J4" t="s">
        <v>24</v>
      </c>
      <c r="K4">
        <v>12</v>
      </c>
      <c r="L4">
        <v>2</v>
      </c>
      <c r="M4">
        <v>39.200000000000003</v>
      </c>
      <c r="N4" t="s">
        <v>44</v>
      </c>
    </row>
    <row r="5" spans="1:14" x14ac:dyDescent="0.35">
      <c r="A5">
        <v>2012</v>
      </c>
      <c r="B5">
        <v>5</v>
      </c>
      <c r="C5">
        <v>7.5</v>
      </c>
      <c r="D5">
        <v>49</v>
      </c>
      <c r="E5">
        <v>0</v>
      </c>
      <c r="F5">
        <v>6.26</v>
      </c>
      <c r="G5" t="s">
        <v>13</v>
      </c>
      <c r="H5" t="s">
        <v>13</v>
      </c>
      <c r="I5">
        <v>0</v>
      </c>
      <c r="J5" t="s">
        <v>15</v>
      </c>
      <c r="K5">
        <v>2</v>
      </c>
      <c r="L5">
        <v>0</v>
      </c>
      <c r="M5">
        <v>38.299999999999997</v>
      </c>
      <c r="N5" t="s">
        <v>44</v>
      </c>
    </row>
    <row r="6" spans="1:14" x14ac:dyDescent="0.35">
      <c r="A6">
        <v>2013</v>
      </c>
      <c r="B6">
        <v>12</v>
      </c>
      <c r="C6">
        <v>25</v>
      </c>
      <c r="D6">
        <v>178</v>
      </c>
      <c r="E6">
        <v>1</v>
      </c>
      <c r="F6">
        <v>7.12</v>
      </c>
      <c r="G6" t="s">
        <v>25</v>
      </c>
      <c r="H6" t="s">
        <v>26</v>
      </c>
      <c r="I6">
        <v>0</v>
      </c>
      <c r="J6" t="s">
        <v>27</v>
      </c>
      <c r="K6">
        <v>12</v>
      </c>
      <c r="L6">
        <v>6</v>
      </c>
      <c r="M6">
        <v>38</v>
      </c>
      <c r="N6" t="s">
        <v>44</v>
      </c>
    </row>
    <row r="7" spans="1:14" x14ac:dyDescent="0.35">
      <c r="A7">
        <v>2014</v>
      </c>
      <c r="B7">
        <v>7</v>
      </c>
      <c r="C7">
        <v>17</v>
      </c>
      <c r="D7">
        <v>107</v>
      </c>
      <c r="E7">
        <v>1</v>
      </c>
      <c r="F7">
        <v>6.29</v>
      </c>
      <c r="G7" t="s">
        <v>28</v>
      </c>
      <c r="H7" t="s">
        <v>23</v>
      </c>
      <c r="I7">
        <v>0</v>
      </c>
      <c r="J7" t="s">
        <v>29</v>
      </c>
      <c r="K7">
        <v>12</v>
      </c>
      <c r="L7">
        <v>1</v>
      </c>
      <c r="M7">
        <v>39.200000000000003</v>
      </c>
      <c r="N7" t="s">
        <v>44</v>
      </c>
    </row>
    <row r="8" spans="1:14" x14ac:dyDescent="0.35">
      <c r="A8">
        <v>2015</v>
      </c>
      <c r="B8">
        <v>4</v>
      </c>
      <c r="C8">
        <v>5.2</v>
      </c>
      <c r="D8">
        <v>34</v>
      </c>
      <c r="E8">
        <v>0</v>
      </c>
      <c r="F8">
        <v>6.38</v>
      </c>
      <c r="G8" t="s">
        <v>13</v>
      </c>
      <c r="H8" t="s">
        <v>13</v>
      </c>
      <c r="I8">
        <v>0</v>
      </c>
      <c r="J8" t="s">
        <v>19</v>
      </c>
      <c r="K8">
        <v>2</v>
      </c>
      <c r="L8">
        <v>0</v>
      </c>
      <c r="M8">
        <v>28.1</v>
      </c>
      <c r="N8" t="s">
        <v>44</v>
      </c>
    </row>
    <row r="9" spans="1:14" x14ac:dyDescent="0.35">
      <c r="A9">
        <v>2016</v>
      </c>
      <c r="B9">
        <v>2</v>
      </c>
      <c r="C9">
        <v>3</v>
      </c>
      <c r="D9">
        <v>20</v>
      </c>
      <c r="E9">
        <v>0</v>
      </c>
      <c r="F9">
        <v>6.67</v>
      </c>
      <c r="G9" t="s">
        <v>13</v>
      </c>
      <c r="H9" t="s">
        <v>13</v>
      </c>
      <c r="I9">
        <v>0</v>
      </c>
      <c r="J9" t="s">
        <v>30</v>
      </c>
      <c r="K9">
        <v>2</v>
      </c>
      <c r="L9">
        <v>0</v>
      </c>
      <c r="M9">
        <v>27.8</v>
      </c>
      <c r="N9" t="s">
        <v>44</v>
      </c>
    </row>
    <row r="10" spans="1:14" x14ac:dyDescent="0.35">
      <c r="A10">
        <v>2017</v>
      </c>
      <c r="B10">
        <v>2</v>
      </c>
      <c r="C10">
        <v>5</v>
      </c>
      <c r="D10">
        <v>29</v>
      </c>
      <c r="E10">
        <v>0</v>
      </c>
      <c r="F10">
        <v>5.8</v>
      </c>
      <c r="G10" t="s">
        <v>13</v>
      </c>
      <c r="H10" t="s">
        <v>13</v>
      </c>
      <c r="I10">
        <v>0</v>
      </c>
      <c r="J10" t="s">
        <v>31</v>
      </c>
      <c r="K10">
        <v>3</v>
      </c>
      <c r="L10">
        <v>0</v>
      </c>
      <c r="M10">
        <v>36.700000000000003</v>
      </c>
      <c r="N10" t="s">
        <v>44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71D16-9C01-4EA3-847E-0529D200D64C}">
  <dimension ref="A1:N9"/>
  <sheetViews>
    <sheetView workbookViewId="0">
      <selection sqref="A1:N9"/>
    </sheetView>
  </sheetViews>
  <sheetFormatPr defaultRowHeight="14.5" x14ac:dyDescent="0.35"/>
  <cols>
    <col min="1" max="1" width="6.81640625" bestFit="1" customWidth="1"/>
    <col min="2" max="2" width="9.08984375" bestFit="1" customWidth="1"/>
    <col min="3" max="3" width="7.90625" bestFit="1" customWidth="1"/>
    <col min="4" max="4" width="7.1796875" bestFit="1" customWidth="1"/>
    <col min="5" max="5" width="9.7265625" bestFit="1" customWidth="1"/>
    <col min="6" max="6" width="7.08984375" bestFit="1" customWidth="1"/>
    <col min="7" max="7" width="6.08984375" bestFit="1" customWidth="1"/>
    <col min="8" max="8" width="5.08984375" bestFit="1" customWidth="1"/>
    <col min="9" max="9" width="5.90625" bestFit="1" customWidth="1"/>
    <col min="10" max="10" width="6.6328125" bestFit="1" customWidth="1"/>
    <col min="11" max="12" width="4.90625" bestFit="1" customWidth="1"/>
    <col min="13" max="13" width="7.6328125" bestFit="1" customWidth="1"/>
    <col min="14" max="14" width="10.17968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42</v>
      </c>
    </row>
    <row r="2" spans="1:14" x14ac:dyDescent="0.35">
      <c r="A2">
        <v>2011</v>
      </c>
      <c r="B2">
        <v>1</v>
      </c>
      <c r="C2">
        <v>2</v>
      </c>
      <c r="D2">
        <v>9</v>
      </c>
      <c r="E2">
        <v>0</v>
      </c>
      <c r="F2">
        <v>4.5</v>
      </c>
      <c r="G2" t="s">
        <v>13</v>
      </c>
      <c r="H2" t="s">
        <v>13</v>
      </c>
      <c r="I2">
        <v>0</v>
      </c>
      <c r="J2" t="s">
        <v>14</v>
      </c>
      <c r="K2">
        <v>1</v>
      </c>
      <c r="L2">
        <v>0</v>
      </c>
      <c r="M2">
        <v>58.3</v>
      </c>
      <c r="N2" t="s">
        <v>43</v>
      </c>
    </row>
    <row r="3" spans="1:14" x14ac:dyDescent="0.35">
      <c r="A3">
        <v>2012</v>
      </c>
      <c r="B3">
        <v>2</v>
      </c>
      <c r="C3">
        <v>9</v>
      </c>
      <c r="D3">
        <v>26</v>
      </c>
      <c r="E3">
        <v>0</v>
      </c>
      <c r="F3">
        <v>2.89</v>
      </c>
      <c r="G3" t="s">
        <v>13</v>
      </c>
      <c r="H3" t="s">
        <v>13</v>
      </c>
      <c r="I3">
        <v>0</v>
      </c>
      <c r="J3" t="s">
        <v>15</v>
      </c>
      <c r="K3">
        <v>3</v>
      </c>
      <c r="L3">
        <v>0</v>
      </c>
      <c r="M3">
        <v>74.099999999999994</v>
      </c>
      <c r="N3" t="s">
        <v>43</v>
      </c>
    </row>
    <row r="4" spans="1:14" x14ac:dyDescent="0.35">
      <c r="A4">
        <v>2013</v>
      </c>
      <c r="B4">
        <v>1</v>
      </c>
      <c r="C4">
        <v>6</v>
      </c>
      <c r="D4">
        <v>18</v>
      </c>
      <c r="E4">
        <v>0</v>
      </c>
      <c r="F4">
        <v>3</v>
      </c>
      <c r="G4" t="s">
        <v>13</v>
      </c>
      <c r="H4" t="s">
        <v>13</v>
      </c>
      <c r="I4">
        <v>0</v>
      </c>
      <c r="J4" t="s">
        <v>16</v>
      </c>
      <c r="K4">
        <v>1</v>
      </c>
      <c r="L4">
        <v>0</v>
      </c>
      <c r="M4">
        <v>63.9</v>
      </c>
      <c r="N4" t="s">
        <v>43</v>
      </c>
    </row>
    <row r="5" spans="1:14" x14ac:dyDescent="0.35">
      <c r="A5">
        <v>2014</v>
      </c>
      <c r="B5">
        <v>2</v>
      </c>
      <c r="C5">
        <v>7</v>
      </c>
      <c r="D5">
        <v>17</v>
      </c>
      <c r="E5">
        <v>0</v>
      </c>
      <c r="F5">
        <v>2.4300000000000002</v>
      </c>
      <c r="G5" t="s">
        <v>13</v>
      </c>
      <c r="H5" t="s">
        <v>13</v>
      </c>
      <c r="I5">
        <v>0</v>
      </c>
      <c r="J5" t="s">
        <v>17</v>
      </c>
      <c r="K5">
        <v>2</v>
      </c>
      <c r="L5">
        <v>0</v>
      </c>
      <c r="M5">
        <v>81</v>
      </c>
      <c r="N5" t="s">
        <v>43</v>
      </c>
    </row>
    <row r="6" spans="1:14" x14ac:dyDescent="0.35">
      <c r="A6">
        <v>2015</v>
      </c>
      <c r="B6">
        <v>1</v>
      </c>
      <c r="C6">
        <v>1</v>
      </c>
      <c r="D6">
        <v>0</v>
      </c>
      <c r="E6">
        <v>0</v>
      </c>
      <c r="F6">
        <v>0</v>
      </c>
      <c r="G6" t="s">
        <v>13</v>
      </c>
      <c r="H6" t="s">
        <v>13</v>
      </c>
      <c r="I6">
        <v>0</v>
      </c>
      <c r="J6" t="s">
        <v>18</v>
      </c>
      <c r="K6">
        <v>0</v>
      </c>
      <c r="L6">
        <v>0</v>
      </c>
      <c r="M6">
        <v>100</v>
      </c>
      <c r="N6" t="s">
        <v>43</v>
      </c>
    </row>
    <row r="7" spans="1:14" x14ac:dyDescent="0.35">
      <c r="A7">
        <v>2017</v>
      </c>
      <c r="B7">
        <v>2</v>
      </c>
      <c r="C7">
        <v>2.1</v>
      </c>
      <c r="D7">
        <v>6</v>
      </c>
      <c r="E7">
        <v>0</v>
      </c>
      <c r="F7">
        <v>2.77</v>
      </c>
      <c r="G7" t="s">
        <v>13</v>
      </c>
      <c r="H7" t="s">
        <v>13</v>
      </c>
      <c r="I7">
        <v>0</v>
      </c>
      <c r="J7" t="s">
        <v>19</v>
      </c>
      <c r="K7">
        <v>1</v>
      </c>
      <c r="L7">
        <v>0</v>
      </c>
      <c r="M7">
        <v>76.900000000000006</v>
      </c>
      <c r="N7" t="s">
        <v>43</v>
      </c>
    </row>
    <row r="8" spans="1:14" x14ac:dyDescent="0.35">
      <c r="A8">
        <v>2019</v>
      </c>
      <c r="B8">
        <v>1</v>
      </c>
      <c r="C8">
        <v>1</v>
      </c>
      <c r="D8">
        <v>4</v>
      </c>
      <c r="E8">
        <v>0</v>
      </c>
      <c r="F8">
        <v>4</v>
      </c>
      <c r="G8" t="s">
        <v>13</v>
      </c>
      <c r="H8" t="s">
        <v>13</v>
      </c>
      <c r="I8">
        <v>0</v>
      </c>
      <c r="J8" t="s">
        <v>17</v>
      </c>
      <c r="K8">
        <v>1</v>
      </c>
      <c r="L8">
        <v>0</v>
      </c>
      <c r="M8">
        <v>83.3</v>
      </c>
      <c r="N8" t="s">
        <v>43</v>
      </c>
    </row>
    <row r="9" spans="1:14" x14ac:dyDescent="0.35">
      <c r="A9">
        <v>2020</v>
      </c>
      <c r="B9">
        <v>1</v>
      </c>
      <c r="C9">
        <v>1</v>
      </c>
      <c r="D9">
        <v>4</v>
      </c>
      <c r="E9">
        <v>0</v>
      </c>
      <c r="F9">
        <v>4</v>
      </c>
      <c r="G9" t="s">
        <v>13</v>
      </c>
      <c r="H9" t="s">
        <v>13</v>
      </c>
      <c r="I9">
        <v>0</v>
      </c>
      <c r="J9" t="s">
        <v>17</v>
      </c>
      <c r="K9">
        <v>1</v>
      </c>
      <c r="L9">
        <v>0</v>
      </c>
      <c r="M9">
        <v>83.3</v>
      </c>
      <c r="N9" t="s">
        <v>43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4276F-2F6B-41FB-8A2B-C96BA5BE1C49}">
  <dimension ref="A1:N9"/>
  <sheetViews>
    <sheetView workbookViewId="0">
      <selection activeCell="N14" sqref="N14"/>
    </sheetView>
  </sheetViews>
  <sheetFormatPr defaultRowHeight="14.5" x14ac:dyDescent="0.35"/>
  <cols>
    <col min="1" max="1" width="6.81640625" bestFit="1" customWidth="1"/>
    <col min="2" max="2" width="9.08984375" bestFit="1" customWidth="1"/>
    <col min="3" max="3" width="7.90625" bestFit="1" customWidth="1"/>
    <col min="4" max="4" width="7.1796875" bestFit="1" customWidth="1"/>
    <col min="5" max="5" width="9.7265625" bestFit="1" customWidth="1"/>
    <col min="6" max="6" width="7.08984375" bestFit="1" customWidth="1"/>
    <col min="7" max="7" width="6.08984375" bestFit="1" customWidth="1"/>
    <col min="8" max="8" width="5.08984375" bestFit="1" customWidth="1"/>
    <col min="9" max="9" width="5.90625" bestFit="1" customWidth="1"/>
    <col min="10" max="10" width="6.6328125" bestFit="1" customWidth="1"/>
    <col min="11" max="12" width="4.90625" bestFit="1" customWidth="1"/>
    <col min="13" max="13" width="7.63281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42</v>
      </c>
    </row>
    <row r="2" spans="1:14" x14ac:dyDescent="0.35">
      <c r="A2">
        <v>2011</v>
      </c>
      <c r="B2">
        <v>1</v>
      </c>
      <c r="C2">
        <v>2</v>
      </c>
      <c r="D2">
        <v>9</v>
      </c>
      <c r="E2">
        <v>0</v>
      </c>
      <c r="F2">
        <v>4.5</v>
      </c>
      <c r="G2" t="s">
        <v>13</v>
      </c>
      <c r="H2" t="s">
        <v>13</v>
      </c>
      <c r="I2">
        <v>0</v>
      </c>
      <c r="J2" t="s">
        <v>14</v>
      </c>
      <c r="K2">
        <v>1</v>
      </c>
      <c r="L2">
        <v>0</v>
      </c>
      <c r="M2">
        <v>58.3</v>
      </c>
      <c r="N2" t="s">
        <v>43</v>
      </c>
    </row>
    <row r="3" spans="1:14" x14ac:dyDescent="0.35">
      <c r="A3">
        <v>2012</v>
      </c>
      <c r="B3">
        <v>2</v>
      </c>
      <c r="C3">
        <v>9</v>
      </c>
      <c r="D3">
        <v>26</v>
      </c>
      <c r="E3">
        <v>0</v>
      </c>
      <c r="F3">
        <v>2.89</v>
      </c>
      <c r="G3" t="s">
        <v>13</v>
      </c>
      <c r="H3" t="s">
        <v>13</v>
      </c>
      <c r="I3">
        <v>0</v>
      </c>
      <c r="J3" t="s">
        <v>15</v>
      </c>
      <c r="K3">
        <v>3</v>
      </c>
      <c r="L3">
        <v>0</v>
      </c>
      <c r="M3">
        <v>74.099999999999994</v>
      </c>
      <c r="N3" t="s">
        <v>43</v>
      </c>
    </row>
    <row r="4" spans="1:14" x14ac:dyDescent="0.35">
      <c r="A4">
        <v>2013</v>
      </c>
      <c r="B4">
        <v>1</v>
      </c>
      <c r="C4">
        <v>6</v>
      </c>
      <c r="D4">
        <v>18</v>
      </c>
      <c r="E4">
        <v>0</v>
      </c>
      <c r="F4">
        <v>3</v>
      </c>
      <c r="G4" t="s">
        <v>13</v>
      </c>
      <c r="H4" t="s">
        <v>13</v>
      </c>
      <c r="I4">
        <v>0</v>
      </c>
      <c r="J4" t="s">
        <v>16</v>
      </c>
      <c r="K4">
        <v>1</v>
      </c>
      <c r="L4">
        <v>0</v>
      </c>
      <c r="M4">
        <v>63.9</v>
      </c>
      <c r="N4" t="s">
        <v>43</v>
      </c>
    </row>
    <row r="5" spans="1:14" x14ac:dyDescent="0.35">
      <c r="A5">
        <v>2014</v>
      </c>
      <c r="B5">
        <v>2</v>
      </c>
      <c r="C5">
        <v>7</v>
      </c>
      <c r="D5">
        <v>17</v>
      </c>
      <c r="E5">
        <v>0</v>
      </c>
      <c r="F5">
        <v>2.4300000000000002</v>
      </c>
      <c r="G5" t="s">
        <v>13</v>
      </c>
      <c r="H5" t="s">
        <v>13</v>
      </c>
      <c r="I5">
        <v>0</v>
      </c>
      <c r="J5" t="s">
        <v>17</v>
      </c>
      <c r="K5">
        <v>2</v>
      </c>
      <c r="L5">
        <v>0</v>
      </c>
      <c r="M5">
        <v>81</v>
      </c>
      <c r="N5" t="s">
        <v>43</v>
      </c>
    </row>
    <row r="6" spans="1:14" x14ac:dyDescent="0.35">
      <c r="A6">
        <v>2015</v>
      </c>
      <c r="B6">
        <v>1</v>
      </c>
      <c r="C6">
        <v>1</v>
      </c>
      <c r="D6">
        <v>0</v>
      </c>
      <c r="E6">
        <v>0</v>
      </c>
      <c r="F6">
        <v>0</v>
      </c>
      <c r="G6" t="s">
        <v>13</v>
      </c>
      <c r="H6" t="s">
        <v>13</v>
      </c>
      <c r="I6">
        <v>0</v>
      </c>
      <c r="J6" t="s">
        <v>18</v>
      </c>
      <c r="K6">
        <v>0</v>
      </c>
      <c r="L6">
        <v>0</v>
      </c>
      <c r="M6">
        <v>100</v>
      </c>
      <c r="N6" t="s">
        <v>43</v>
      </c>
    </row>
    <row r="7" spans="1:14" x14ac:dyDescent="0.35">
      <c r="A7">
        <v>2017</v>
      </c>
      <c r="B7">
        <v>2</v>
      </c>
      <c r="C7">
        <v>2.1</v>
      </c>
      <c r="D7">
        <v>6</v>
      </c>
      <c r="E7">
        <v>0</v>
      </c>
      <c r="F7">
        <v>2.77</v>
      </c>
      <c r="G7" t="s">
        <v>13</v>
      </c>
      <c r="H7" t="s">
        <v>13</v>
      </c>
      <c r="I7">
        <v>0</v>
      </c>
      <c r="J7" t="s">
        <v>19</v>
      </c>
      <c r="K7">
        <v>1</v>
      </c>
      <c r="L7">
        <v>0</v>
      </c>
      <c r="M7">
        <v>76.900000000000006</v>
      </c>
      <c r="N7" t="s">
        <v>43</v>
      </c>
    </row>
    <row r="8" spans="1:14" x14ac:dyDescent="0.35">
      <c r="A8">
        <v>2019</v>
      </c>
      <c r="B8">
        <v>1</v>
      </c>
      <c r="C8">
        <v>1</v>
      </c>
      <c r="D8">
        <v>4</v>
      </c>
      <c r="E8">
        <v>0</v>
      </c>
      <c r="F8">
        <v>4</v>
      </c>
      <c r="G8" t="s">
        <v>13</v>
      </c>
      <c r="H8" t="s">
        <v>13</v>
      </c>
      <c r="I8">
        <v>0</v>
      </c>
      <c r="J8" t="s">
        <v>17</v>
      </c>
      <c r="K8">
        <v>1</v>
      </c>
      <c r="L8">
        <v>0</v>
      </c>
      <c r="M8">
        <v>83.3</v>
      </c>
      <c r="N8" t="s">
        <v>43</v>
      </c>
    </row>
    <row r="9" spans="1:14" x14ac:dyDescent="0.35">
      <c r="A9">
        <v>2020</v>
      </c>
      <c r="B9">
        <v>1</v>
      </c>
      <c r="C9">
        <v>1</v>
      </c>
      <c r="D9">
        <v>4</v>
      </c>
      <c r="E9">
        <v>0</v>
      </c>
      <c r="F9">
        <v>4</v>
      </c>
      <c r="G9" t="s">
        <v>13</v>
      </c>
      <c r="H9" t="s">
        <v>13</v>
      </c>
      <c r="I9">
        <v>0</v>
      </c>
      <c r="J9" t="s">
        <v>17</v>
      </c>
      <c r="K9">
        <v>1</v>
      </c>
      <c r="L9">
        <v>0</v>
      </c>
      <c r="M9">
        <v>83.3</v>
      </c>
      <c r="N9" t="s">
        <v>43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E71B02-1C33-491F-B8A3-D535A5B558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T20I_balling (2)</vt:lpstr>
      <vt:lpstr>Table 5</vt:lpstr>
      <vt:lpstr>Bowling (2)</vt:lpstr>
      <vt:lpstr>Sheet2</vt:lpstr>
      <vt:lpstr>Bowling_dasboard</vt:lpstr>
      <vt:lpstr>ODI_balling (2)</vt:lpstr>
      <vt:lpstr>Table 3</vt:lpstr>
      <vt:lpstr>Test_balling (2)</vt:lpstr>
      <vt:lpstr>Table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singh</dc:creator>
  <cp:lastModifiedBy>manish singh</cp:lastModifiedBy>
  <dcterms:created xsi:type="dcterms:W3CDTF">2023-10-18T05:44:17Z</dcterms:created>
  <dcterms:modified xsi:type="dcterms:W3CDTF">2024-09-10T04:46:37Z</dcterms:modified>
</cp:coreProperties>
</file>